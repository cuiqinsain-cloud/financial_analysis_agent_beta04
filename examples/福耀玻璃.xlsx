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activeTab="1"/>
  </bookViews>
  <sheets>
    <sheet name="balance" sheetId="1" r:id="rId1"/>
    <sheet name="损益现金流" sheetId="2" r:id="rId2"/>
    <sheet name="收入成本" sheetId="3" r:id="rId3"/>
    <sheet name="Beta_0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<sst xmlns="http://schemas.openxmlformats.org/spreadsheetml/2006/main" count="287" uniqueCount="219">
  <si>
    <t>2024.12.31</t>
  </si>
  <si>
    <t>2023.12.31</t>
  </si>
  <si>
    <t>2022.12.31</t>
  </si>
  <si>
    <t>2021.12.31</t>
  </si>
  <si>
    <t>2020.12.31</t>
  </si>
  <si>
    <t>2019.12.31</t>
  </si>
  <si>
    <t>2018.12.21</t>
  </si>
  <si>
    <t>2017.12.31</t>
  </si>
  <si>
    <t>2016.12.31</t>
  </si>
  <si>
    <t>2015.12.31</t>
  </si>
  <si>
    <t>资产</t>
  </si>
  <si>
    <t>金融资产</t>
  </si>
  <si>
    <t>货币资金</t>
  </si>
  <si>
    <t>交易性金融资产（权益工具、存款）</t>
  </si>
  <si>
    <t>衍生金融资产</t>
  </si>
  <si>
    <t>应收款项融资</t>
  </si>
  <si>
    <t>其他流动资产</t>
  </si>
  <si>
    <t>长期股权资产</t>
  </si>
  <si>
    <t>长期股权投资</t>
  </si>
  <si>
    <t>其他权益工具投资</t>
  </si>
  <si>
    <t>经营资产</t>
  </si>
  <si>
    <t>存货</t>
  </si>
  <si>
    <t>应收票据</t>
  </si>
  <si>
    <t>应收账款</t>
  </si>
  <si>
    <t>预付款项</t>
  </si>
  <si>
    <t>其他应收款</t>
  </si>
  <si>
    <t>其他非流动资产</t>
  </si>
  <si>
    <t>一年到期流动资产</t>
  </si>
  <si>
    <t>一年内到期非流动资产</t>
  </si>
  <si>
    <t>长期应收款</t>
  </si>
  <si>
    <t>递延所得税资产</t>
  </si>
  <si>
    <t>长期资产</t>
  </si>
  <si>
    <t>固定资产</t>
  </si>
  <si>
    <t>在建工程</t>
  </si>
  <si>
    <t>使用权资产</t>
  </si>
  <si>
    <t>无形资产</t>
  </si>
  <si>
    <t>商誉</t>
  </si>
  <si>
    <t>长期待摊</t>
  </si>
  <si>
    <t>负债</t>
  </si>
  <si>
    <t>经营负债</t>
  </si>
  <si>
    <t>应付票据</t>
  </si>
  <si>
    <t>应付账款</t>
  </si>
  <si>
    <t>预收款项</t>
  </si>
  <si>
    <t>合同负债</t>
  </si>
  <si>
    <t>应付职工薪酬</t>
  </si>
  <si>
    <t>应交税费</t>
  </si>
  <si>
    <t>其他应付款</t>
  </si>
  <si>
    <t>其他流动负债</t>
  </si>
  <si>
    <t>递延收益</t>
  </si>
  <si>
    <t>长期应付款</t>
  </si>
  <si>
    <t>预计负债</t>
  </si>
  <si>
    <t>其他非流动负债</t>
  </si>
  <si>
    <t>递延所得税负债</t>
  </si>
  <si>
    <t>有息负债</t>
  </si>
  <si>
    <t>短期借款</t>
  </si>
  <si>
    <t>长期借款</t>
  </si>
  <si>
    <t>衍生金融资产负债</t>
  </si>
  <si>
    <t>应付债券</t>
  </si>
  <si>
    <t>应计利息</t>
  </si>
  <si>
    <t>一年内到期的非流动负债</t>
  </si>
  <si>
    <t>租赁负债</t>
  </si>
  <si>
    <t>所有者权益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</si>
  <si>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</si>
  <si>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</si>
  <si>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</si>
  <si>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</si>
  <si>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</si>
  <si>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</si>
  <si>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少数股东权益</t>
  </si>
  <si>
    <t>分红</t>
  </si>
  <si>
    <t>营收</t>
  </si>
  <si>
    <t>成本</t>
  </si>
  <si>
    <t>毛利率</t>
  </si>
  <si>
    <t>税金及附加</t>
  </si>
  <si>
    <t>销售费用</t>
  </si>
  <si>
    <t>管理费用</t>
  </si>
  <si>
    <t>研发费用</t>
  </si>
  <si>
    <t>其他收益</t>
  </si>
  <si>
    <t>信用减值</t>
  </si>
  <si>
    <t>资产减值</t>
  </si>
  <si>
    <t>资产处置</t>
  </si>
  <si>
    <t>营业外收入</t>
  </si>
  <si>
    <t>营业外成本</t>
  </si>
  <si>
    <t>息税前经营利润</t>
  </si>
  <si>
    <t>金融资产收益</t>
  </si>
  <si>
    <t>投资收益</t>
  </si>
  <si>
    <t>利息收入</t>
  </si>
  <si>
    <t>公允价值变动</t>
  </si>
  <si>
    <t>长期投资收益</t>
  </si>
  <si>
    <t>长期股权投资收益</t>
  </si>
  <si>
    <t>息税前净利润</t>
  </si>
  <si>
    <t>利息支出</t>
  </si>
  <si>
    <t>财务费用</t>
  </si>
  <si>
    <t>所得税</t>
  </si>
  <si>
    <t>净利润</t>
  </si>
  <si>
    <t>资产减值准备</t>
  </si>
  <si>
    <t>信用减值损失</t>
  </si>
  <si>
    <t>固定资产折旧、油气资产折耗、生产性生物资产折旧</t>
  </si>
  <si>
    <t>使用权资产摊销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</si>
  <si>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</si>
  <si>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</si>
  <si>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</si>
  <si>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</si>
  <si>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</si>
  <si>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财务费用（收益以“－”号填列）</t>
  </si>
  <si>
    <t>投资损失（收益以“－”号填列）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</si>
  <si>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</si>
  <si>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</si>
  <si>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</si>
  <si>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</si>
  <si>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</si>
  <si>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递延收益摊销</t>
  </si>
  <si>
    <t>其他</t>
  </si>
  <si>
    <t>经营活动产生的现金流量净额</t>
  </si>
  <si>
    <t>销售商品、提供劳务收到的现金</t>
  </si>
  <si>
    <t>收到的税费返还</t>
  </si>
  <si>
    <t>收到其他与经营活动有关的现金</t>
  </si>
  <si>
    <t>经营活动现金流入小计</t>
  </si>
  <si>
    <t>购买商品、接受劳务支付的现金</t>
  </si>
  <si>
    <t>支付给职工及为职工支付的现金</t>
  </si>
  <si>
    <t>支付的各项税费</t>
  </si>
  <si>
    <t>支付其他与经营活动有关的现金</t>
  </si>
  <si>
    <t>经营活动现金流出小计</t>
  </si>
  <si>
    <t>收回投资收到的现金</t>
  </si>
  <si>
    <t>取得投资收益收到的现金</t>
  </si>
  <si>
    <t>处置长期资产收回的现金净额</t>
  </si>
  <si>
    <t>处置子公司收到的现金净额</t>
  </si>
  <si>
    <t>收到其他与投资活动有关的现金</t>
  </si>
  <si>
    <t>投资活动现金流入小计</t>
  </si>
  <si>
    <t>购建长期资产支付的现金</t>
  </si>
  <si>
    <t>投资支付的现金</t>
  </si>
  <si>
    <t>取得子公司支付的现金净额</t>
  </si>
  <si>
    <t>支付其他与投资活动有关的现金</t>
  </si>
  <si>
    <t>投资活动现金流出小计</t>
  </si>
  <si>
    <t>投资活动产生的现金流量净额</t>
  </si>
  <si>
    <t>吸收投资收到的现金</t>
  </si>
  <si>
    <t>取得借款收到的现金</t>
  </si>
  <si>
    <t xml:space="preserve">发行债券收到的现金 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</si>
  <si>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</si>
  <si>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</si>
  <si>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</si>
  <si>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</si>
  <si>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</si>
  <si>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</si>
  <si>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</si>
  <si>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主营业务</t>
  </si>
  <si>
    <t>收入</t>
  </si>
  <si>
    <t>汽车玻璃</t>
  </si>
  <si>
    <t>浮法玻璃</t>
  </si>
  <si>
    <t>毛利</t>
  </si>
  <si>
    <t>其他业务</t>
  </si>
  <si>
    <t>YoY</t>
  </si>
  <si>
    <t>定价</t>
  </si>
  <si>
    <t>现金</t>
  </si>
  <si>
    <t>投资</t>
  </si>
  <si>
    <t>运营资产</t>
  </si>
  <si>
    <t>应收</t>
  </si>
  <si>
    <t>预付</t>
  </si>
  <si>
    <t>预收</t>
  </si>
  <si>
    <t>应付</t>
  </si>
  <si>
    <t>权益</t>
  </si>
  <si>
    <t>资本投入</t>
  </si>
  <si>
    <t>股息分红</t>
  </si>
  <si>
    <t>现金结构</t>
  </si>
  <si>
    <t>利润留存</t>
  </si>
  <si>
    <t>股东、负债</t>
  </si>
  <si>
    <t>折旧摊销</t>
  </si>
  <si>
    <t>资本开支</t>
  </si>
  <si>
    <t>股本</t>
  </si>
  <si>
    <t>主营收入</t>
  </si>
  <si>
    <t>主营成本</t>
  </si>
  <si>
    <t>费用</t>
  </si>
  <si>
    <t>损耗</t>
  </si>
  <si>
    <t>现金收益</t>
  </si>
  <si>
    <t>股权收益</t>
  </si>
  <si>
    <t>营业外</t>
  </si>
  <si>
    <t>盈利结构</t>
  </si>
  <si>
    <t>业务利润</t>
  </si>
  <si>
    <t>其他业务利润</t>
  </si>
  <si>
    <t>营业外利润</t>
  </si>
  <si>
    <t>CAPEX</t>
  </si>
  <si>
    <t>现金留存</t>
  </si>
  <si>
    <t>业务现金</t>
  </si>
  <si>
    <t>经营周转</t>
  </si>
  <si>
    <t>费率</t>
  </si>
  <si>
    <t>研发费率</t>
  </si>
  <si>
    <t>销售费率</t>
  </si>
  <si>
    <t>管理费率</t>
  </si>
  <si>
    <t>净利率</t>
  </si>
  <si>
    <t>应收占比</t>
  </si>
  <si>
    <t>应收周转</t>
  </si>
  <si>
    <t>存货周转</t>
  </si>
  <si>
    <t>应付（预付）占比</t>
  </si>
  <si>
    <t>预收占比</t>
  </si>
  <si>
    <t>利息支出/业务利润</t>
  </si>
  <si>
    <t>折旧摊销/长期资产</t>
  </si>
  <si>
    <t>资产结构</t>
  </si>
  <si>
    <t>现金资产</t>
  </si>
  <si>
    <t>股权资产</t>
  </si>
  <si>
    <t>负债结构</t>
  </si>
  <si>
    <t>权益结构</t>
  </si>
  <si>
    <t>营收YoY</t>
  </si>
  <si>
    <t>业务净利润YoY</t>
  </si>
  <si>
    <t>资产YoY</t>
  </si>
  <si>
    <t>权益YoY</t>
  </si>
  <si>
    <t>负债YoY</t>
  </si>
  <si>
    <t>有息债务</t>
  </si>
  <si>
    <t>ROE</t>
  </si>
  <si>
    <t>Net Proit</t>
  </si>
  <si>
    <t>主营收入/资产</t>
  </si>
  <si>
    <t>资产/资本</t>
  </si>
  <si>
    <t>股息</t>
  </si>
  <si>
    <t>EPS</t>
  </si>
  <si>
    <t>FPS</t>
  </si>
  <si>
    <t>价格（H）</t>
  </si>
  <si>
    <t>价格（L）</t>
  </si>
  <si>
    <t>PE</t>
  </si>
  <si>
    <t>股息率</t>
  </si>
  <si>
    <t>市值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</si>
</sst>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0.0%"/>
    <numFmt numFmtId="178" formatCode="_(* #,##0.00_);_(* \(#,##0.00\);_(* &quot;-&quot;??_);_(@_)"/>
    <numFmt numFmtId="179" formatCode="_ * #,##0.0_ ;_ * \-#,##0.0_ ;_ * &quot;-&quot;??_ ;_ @_ "/>
    <numFmt numFmtId="180" formatCode="_(* #,##0.0_);_(* \(#,##0.0\);_(* &quot;-&quot;?_);_(@_)"/>
    <numFmt numFmtId="181" formatCode="0.0"/>
    <numFmt numFmtId="182" formatCode="#,##0_ "/>
  </numFmts>
  <fonts count="26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.55"/>
      <color rgb="FF000000"/>
      <name val="宋体"/>
      <charset val="134"/>
    </font>
    <font>
      <sz val="10.55"/>
      <color rgb="FF00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0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>
      <alignment vertical="center"/>
    </xf>
    <xf numFmtId="177" fontId="0" fillId="0" borderId="0" xfId="3" applyNumberFormat="1" applyFont="1">
      <alignment vertical="center"/>
    </xf>
    <xf numFmtId="0" fontId="4" fillId="0" borderId="0" xfId="0" applyFont="1">
      <alignment vertical="center"/>
    </xf>
    <xf numFmtId="0" fontId="0" fillId="0" borderId="0" xfId="3" applyNumberFormat="1" applyFont="1">
      <alignment vertical="center"/>
    </xf>
    <xf numFmtId="0" fontId="4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176" fontId="0" fillId="2" borderId="0" xfId="3" applyNumberFormat="1" applyFont="1" applyFill="1">
      <alignment vertical="center"/>
    </xf>
    <xf numFmtId="176" fontId="0" fillId="0" borderId="0" xfId="3" applyNumberFormat="1" applyFont="1">
      <alignment vertical="center"/>
    </xf>
    <xf numFmtId="178" fontId="0" fillId="2" borderId="0" xfId="0" applyNumberFormat="1" applyFill="1">
      <alignment vertical="center"/>
    </xf>
    <xf numFmtId="176" fontId="0" fillId="2" borderId="0" xfId="0" applyNumberFormat="1" applyFill="1">
      <alignment vertical="center"/>
    </xf>
    <xf numFmtId="0" fontId="2" fillId="0" borderId="0" xfId="0" applyFont="1" applyAlignment="1">
      <alignment horizontal="left" vertical="center"/>
    </xf>
    <xf numFmtId="177" fontId="0" fillId="0" borderId="0" xfId="0" applyNumberFormat="1">
      <alignment vertical="center"/>
    </xf>
    <xf numFmtId="0" fontId="4" fillId="0" borderId="0" xfId="0" applyFont="1" applyAlignment="1">
      <alignment horizontal="right" vertical="center"/>
    </xf>
    <xf numFmtId="179" fontId="0" fillId="0" borderId="0" xfId="0" applyNumberFormat="1">
      <alignment vertical="center"/>
    </xf>
    <xf numFmtId="9" fontId="0" fillId="0" borderId="0" xfId="0" applyNumberFormat="1">
      <alignment vertical="center"/>
    </xf>
    <xf numFmtId="178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4" fillId="2" borderId="0" xfId="0" applyFont="1" applyFill="1" applyAlignment="1">
      <alignment horizontal="right" vertical="center"/>
    </xf>
    <xf numFmtId="177" fontId="0" fillId="2" borderId="0" xfId="0" applyNumberFormat="1" applyFill="1">
      <alignment vertical="center"/>
    </xf>
    <xf numFmtId="2" fontId="0" fillId="0" borderId="0" xfId="0" applyNumberFormat="1">
      <alignment vertical="center"/>
    </xf>
    <xf numFmtId="9" fontId="2" fillId="0" borderId="0" xfId="0" applyNumberFormat="1" applyFont="1">
      <alignment vertical="center"/>
    </xf>
    <xf numFmtId="181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2" fontId="0" fillId="2" borderId="0" xfId="0" applyNumberFormat="1" applyFill="1">
      <alignment vertical="center"/>
    </xf>
    <xf numFmtId="0" fontId="1" fillId="2" borderId="0" xfId="0" applyFont="1" applyFill="1" applyAlignment="1">
      <alignment horizontal="left" vertical="center"/>
    </xf>
    <xf numFmtId="1" fontId="2" fillId="0" borderId="0" xfId="0" applyNumberFormat="1" applyFont="1">
      <alignment vertical="center"/>
    </xf>
    <xf numFmtId="10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>
      <alignment vertical="center"/>
    </xf>
    <xf numFmtId="3" fontId="4" fillId="0" borderId="0" xfId="0" applyNumberFormat="1" applyFont="1" applyAlignment="1">
      <alignment horizontal="right" vertical="center"/>
    </xf>
    <xf numFmtId="3" fontId="5" fillId="0" borderId="0" xfId="0" applyNumberFormat="1" applyFont="1">
      <alignment vertical="center"/>
    </xf>
    <xf numFmtId="3" fontId="0" fillId="0" borderId="0" xfId="0" applyNumberFormat="1">
      <alignment vertical="center"/>
    </xf>
    <xf numFmtId="3" fontId="0" fillId="0" borderId="0" xfId="0" applyNumberFormat="1" applyAlignment="1">
      <alignment horizontal="right" vertical="center"/>
    </xf>
    <xf numFmtId="3" fontId="2" fillId="0" borderId="0" xfId="0" applyNumberFormat="1" applyFont="1">
      <alignment vertical="center"/>
    </xf>
    <xf numFmtId="9" fontId="0" fillId="0" borderId="0" xfId="3" applyFont="1">
      <alignment vertical="center"/>
    </xf>
    <xf numFmtId="0" fontId="2" fillId="0" borderId="0" xfId="0" applyFont="1">
      <alignment vertical="center"/>
    </xf>
    <xf numFmtId="3" fontId="6" fillId="0" borderId="0" xfId="0" applyNumberFormat="1" applyFont="1">
      <alignment vertical="center"/>
    </xf>
    <xf numFmtId="10" fontId="0" fillId="0" borderId="0" xfId="3" applyNumberFormat="1" applyFont="1">
      <alignment vertical="center"/>
    </xf>
    <xf numFmtId="3" fontId="0" fillId="0" borderId="0" xfId="1" applyNumberFormat="1" applyFont="1">
      <alignment vertical="center"/>
    </xf>
    <xf numFmtId="176" fontId="2" fillId="0" borderId="0" xfId="0" applyNumberFormat="1" applyFont="1" applyAlignment="1">
      <alignment horizontal="right" vertical="center"/>
    </xf>
    <xf numFmtId="182" fontId="4" fillId="0" borderId="0" xfId="0" applyNumberFormat="1" applyFont="1">
      <alignment vertical="center"/>
    </xf>
    <xf numFmtId="182" fontId="0" fillId="0" borderId="0" xfId="0" applyNumberFormat="1">
      <alignment vertical="center"/>
    </xf>
    <xf numFmtId="182" fontId="0" fillId="0" borderId="0" xfId="1" applyNumberFormat="1" applyFont="1">
      <alignment vertical="center"/>
    </xf>
    <xf numFmtId="182" fontId="2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4" fontId="0" fillId="0" borderId="0" xfId="0" applyNumberFormat="1">
      <alignment vertical="center"/>
    </xf>
    <xf numFmtId="0" fontId="5" fillId="0" borderId="0" xfId="0" applyFont="1" applyAlignment="1">
      <alignment horizontal="right" vertical="center"/>
    </xf>
    <xf numFmtId="176" fontId="4" fillId="0" borderId="0" xfId="1" applyNumberFormat="1" applyFont="1">
      <alignment vertical="center"/>
    </xf>
    <xf numFmtId="0" fontId="0" fillId="0" borderId="0" xfId="0" applyAlignment="1">
      <alignment vertical="center" wrapText="1"/>
    </xf>
    <xf numFmtId="176" fontId="2" fillId="0" borderId="0" xfId="1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G79" sqref="G79"/>
    </sheetView>
  </sheetViews>
  <sheetFormatPr defaultColWidth="8.83035714285714" defaultRowHeight="16.8"/>
  <cols>
    <col min="1" max="1" width="13" customWidth="1"/>
    <col min="2" max="2" width="23.5" customWidth="1"/>
    <col min="3" max="4" width="15" customWidth="1"/>
    <col min="5" max="8" width="15.1607142857143" customWidth="1"/>
    <col min="9" max="9" width="15.3303571428571" customWidth="1"/>
    <col min="10" max="12" width="13.8303571428571" customWidth="1"/>
  </cols>
  <sheetData>
    <row r="1" spans="1:12">
      <c r="C1" s="40" t="s">
        <v>0</v>
      </c>
      <c r="D1" s="40" t="s">
        <v>1</v>
      </c>
      <c r="E1" s="40" t="s">
        <v>2</v>
      </c>
      <c r="F1" s="40" t="s">
        <v>3</v>
      </c>
      <c r="G1" s="40" t="s">
        <v>4</v>
      </c>
      <c r="H1" s="40" t="s">
        <v>5</v>
      </c>
      <c r="I1" s="40" t="s">
        <v>6</v>
      </c>
      <c r="J1" s="40" t="s">
        <v>7</v>
      </c>
      <c r="K1" s="40" t="s">
        <v>8</v>
      </c>
      <c r="L1" s="40" t="s">
        <v>9</v>
      </c>
    </row>
    <row r="2" spans="1:12">
      <c r="A2" s="13" t="s">
        <v>10</v>
      </c>
      <c r="C2" s="53">
        <f>C4+C13+C25+C10</f>
        <v>63254182536</v>
      </c>
      <c r="D2" s="53">
        <f>D4+D13+D25+D10</f>
        <v>56630407495</v>
      </c>
      <c r="E2" s="53">
        <f t="shared" ref="E2:H2" si="0">E4+E13+E25+E10</f>
        <v>50767498791</v>
      </c>
      <c r="F2" s="53">
        <f t="shared" si="0"/>
        <v>44784893954</v>
      </c>
      <c r="G2" s="53">
        <f t="shared" si="0"/>
        <v>38423625184</v>
      </c>
      <c r="H2" s="53">
        <f t="shared" si="0"/>
        <v>38826279607</v>
      </c>
      <c r="I2" s="53">
        <f t="shared" ref="I2:L2" si="1">I4+I13+I25+I10</f>
        <v>34490438670</v>
      </c>
      <c r="J2" s="53">
        <f t="shared" si="1"/>
        <v>31920898046</v>
      </c>
      <c r="K2" s="53">
        <f t="shared" si="1"/>
        <v>29865845423</v>
      </c>
      <c r="L2" s="53">
        <f t="shared" si="1"/>
        <v>24640919497</v>
      </c>
    </row>
    <row r="3" spans="1:12">
      <c r="C3" s="54"/>
      <c r="D3" s="54"/>
      <c r="E3" s="54"/>
      <c r="F3" s="54"/>
      <c r="G3" s="3"/>
      <c r="H3" s="3"/>
      <c r="I3" s="3"/>
      <c r="J3" s="3"/>
      <c r="K3" s="3"/>
      <c r="L3" s="3"/>
    </row>
    <row r="4" spans="1:12">
      <c r="A4" s="13" t="s">
        <v>11</v>
      </c>
      <c r="C4" s="53">
        <f>SUM(C5:C9)</f>
        <v>20713712160</v>
      </c>
      <c r="D4" s="53">
        <f>SUM(D5:D9)</f>
        <v>19838830944</v>
      </c>
      <c r="E4" s="53">
        <f t="shared" ref="E4:F4" si="2">SUM(E5:E9)</f>
        <v>18165180172</v>
      </c>
      <c r="F4" s="53">
        <f t="shared" si="2"/>
        <v>15447688808</v>
      </c>
      <c r="G4" s="53">
        <f t="shared" ref="G4" si="3">SUM(G5:G9)</f>
        <v>10411885641</v>
      </c>
      <c r="H4" s="53">
        <f t="shared" ref="H4:L4" si="4">SUM(H5:H9)</f>
        <v>10001551003</v>
      </c>
      <c r="I4" s="53">
        <f t="shared" si="4"/>
        <v>6800777265</v>
      </c>
      <c r="J4" s="53">
        <f t="shared" si="4"/>
        <v>6833689446</v>
      </c>
      <c r="K4" s="53">
        <f t="shared" si="4"/>
        <v>7213130254</v>
      </c>
      <c r="L4" s="53">
        <f t="shared" si="4"/>
        <v>5918845168</v>
      </c>
    </row>
    <row r="5" spans="1:12">
      <c r="B5" t="s">
        <v>12</v>
      </c>
      <c r="C5" s="54">
        <v>18784564004</v>
      </c>
      <c r="D5" s="54">
        <v>18518172689</v>
      </c>
      <c r="E5" s="3">
        <v>17019655848</v>
      </c>
      <c r="F5" s="3">
        <v>14327356262</v>
      </c>
      <c r="G5" s="3">
        <v>8809985853</v>
      </c>
      <c r="H5" s="3">
        <v>8356153735</v>
      </c>
      <c r="I5" s="49">
        <v>6365973126</v>
      </c>
      <c r="J5" s="49">
        <v>6728200042</v>
      </c>
      <c r="K5" s="49">
        <v>7211178987</v>
      </c>
      <c r="L5" s="49">
        <v>5918845168</v>
      </c>
    </row>
    <row r="6" ht="34" spans="1:12">
      <c r="B6" s="61" t="s">
        <v>13</v>
      </c>
      <c r="C6" s="54">
        <v>7682574</v>
      </c>
      <c r="D6" s="54">
        <v>5740618</v>
      </c>
      <c r="E6" s="3">
        <v>7396158</v>
      </c>
      <c r="F6" s="3">
        <v>6320181</v>
      </c>
      <c r="G6" s="3">
        <v>300287671</v>
      </c>
      <c r="H6" s="3">
        <v>860894383</v>
      </c>
      <c r="I6" s="49">
        <v>387261777</v>
      </c>
      <c r="J6" s="49">
        <v>101927854</v>
      </c>
      <c r="K6" s="49">
        <v>1951267</v>
      </c>
    </row>
    <row r="7" spans="1:12">
      <c r="B7" t="s">
        <v>14</v>
      </c>
      <c r="C7" s="54"/>
      <c r="D7" s="54"/>
      <c r="E7" s="3"/>
      <c r="F7" s="3"/>
      <c r="G7" s="3"/>
      <c r="H7" s="3">
        <v>85110</v>
      </c>
      <c r="I7" s="49">
        <v>47542362</v>
      </c>
      <c r="J7" s="49">
        <v>3561550</v>
      </c>
    </row>
    <row r="8" spans="1:12">
      <c r="B8" t="s">
        <v>15</v>
      </c>
      <c r="C8" s="54">
        <v>1921465582</v>
      </c>
      <c r="D8" s="54">
        <v>1314917637</v>
      </c>
      <c r="E8" s="3">
        <v>1138128166</v>
      </c>
      <c r="F8" s="3">
        <v>1114012365</v>
      </c>
      <c r="G8" s="3">
        <v>1301612117</v>
      </c>
      <c r="H8" s="3">
        <v>784417775</v>
      </c>
    </row>
    <row r="9" spans="1:12">
      <c r="B9" t="s">
        <v>16</v>
      </c>
      <c r="C9" s="54"/>
      <c r="D9" s="54"/>
      <c r="E9" s="3"/>
      <c r="F9" s="3"/>
      <c r="G9" s="3"/>
      <c r="H9" s="3"/>
    </row>
    <row r="10" spans="1:12">
      <c r="A10" s="13" t="s">
        <v>17</v>
      </c>
      <c r="C10" s="53">
        <f>SUM(C11:C12)</f>
        <v>524177494</v>
      </c>
      <c r="D10" s="53">
        <f>SUM(D11:D12)</f>
        <v>272592774</v>
      </c>
      <c r="E10" s="53">
        <f t="shared" ref="E10:F10" si="5">SUM(E11:E12)</f>
        <v>327607056</v>
      </c>
      <c r="F10" s="53">
        <f t="shared" si="5"/>
        <v>298144705</v>
      </c>
      <c r="G10" s="53">
        <f t="shared" ref="G10" si="6">SUM(G11:G12)</f>
        <v>264748905</v>
      </c>
      <c r="H10" s="53">
        <f t="shared" ref="H10:L10" si="7">SUM(H11:H12)</f>
        <v>199805151</v>
      </c>
      <c r="I10" s="53">
        <f t="shared" si="7"/>
        <v>205738050</v>
      </c>
      <c r="J10" s="53">
        <f t="shared" si="7"/>
        <v>95519959</v>
      </c>
      <c r="K10" s="53">
        <f t="shared" si="7"/>
        <v>101536425</v>
      </c>
      <c r="L10" s="53">
        <f t="shared" si="7"/>
        <v>46449341</v>
      </c>
    </row>
    <row r="11" spans="1:12">
      <c r="A11" s="13"/>
      <c r="B11" t="s">
        <v>18</v>
      </c>
      <c r="C11" s="54">
        <v>441494759</v>
      </c>
      <c r="D11" s="54">
        <v>181538429</v>
      </c>
      <c r="E11" s="3">
        <v>250040313</v>
      </c>
      <c r="F11" s="3">
        <v>228823950</v>
      </c>
      <c r="G11" s="3">
        <v>206748905</v>
      </c>
      <c r="H11" s="3">
        <v>199805151</v>
      </c>
      <c r="I11" s="49">
        <v>205738050</v>
      </c>
      <c r="J11" s="49">
        <v>95519959</v>
      </c>
      <c r="K11" s="49">
        <v>101536425</v>
      </c>
      <c r="L11" s="49">
        <v>46449341</v>
      </c>
    </row>
    <row r="12" spans="1:12">
      <c r="B12" t="s">
        <v>19</v>
      </c>
      <c r="C12" s="54">
        <v>82682735</v>
      </c>
      <c r="D12" s="54">
        <v>91054345</v>
      </c>
      <c r="E12" s="3">
        <v>77566743</v>
      </c>
      <c r="F12" s="3">
        <v>69320755</v>
      </c>
      <c r="G12" s="3">
        <v>58000000</v>
      </c>
      <c r="H12" s="3"/>
    </row>
    <row r="13" s="13" customFormat="1" spans="1:12">
      <c r="A13" s="13" t="s">
        <v>20</v>
      </c>
      <c r="C13" s="53">
        <f>SUM(C14:C24)</f>
        <v>16094542311</v>
      </c>
      <c r="D13" s="53">
        <f>SUM(D14:D24)</f>
        <v>14147469320</v>
      </c>
      <c r="E13" s="53">
        <f t="shared" ref="E13:F13" si="8">SUM(E14:E24)</f>
        <v>12235113740</v>
      </c>
      <c r="F13" s="53">
        <f t="shared" si="8"/>
        <v>10129858419</v>
      </c>
      <c r="G13" s="53">
        <f t="shared" ref="G13" si="9">SUM(G14:G24)</f>
        <v>8668361952</v>
      </c>
      <c r="H13" s="53">
        <f t="shared" ref="H13:L13" si="10">SUM(H14:H24)</f>
        <v>8471317618</v>
      </c>
      <c r="I13" s="53">
        <f t="shared" si="10"/>
        <v>9033666442</v>
      </c>
      <c r="J13" s="53">
        <f t="shared" si="10"/>
        <v>8680763546</v>
      </c>
      <c r="K13" s="53">
        <f t="shared" si="10"/>
        <v>7948521897</v>
      </c>
      <c r="L13" s="53">
        <f t="shared" si="10"/>
        <v>6631629264</v>
      </c>
    </row>
    <row r="14" spans="1:12">
      <c r="B14" t="s">
        <v>21</v>
      </c>
      <c r="C14" s="54">
        <v>5970614068</v>
      </c>
      <c r="D14" s="54">
        <v>5143615319</v>
      </c>
      <c r="E14" s="3">
        <v>5403360356</v>
      </c>
      <c r="F14" s="3">
        <v>4327048485</v>
      </c>
      <c r="G14" s="3">
        <v>3280989599</v>
      </c>
      <c r="H14" s="3">
        <v>3280465303</v>
      </c>
      <c r="I14" s="49">
        <v>3241739977</v>
      </c>
      <c r="J14" s="49">
        <v>2974677451</v>
      </c>
      <c r="K14" s="49">
        <v>2785865099</v>
      </c>
      <c r="L14" s="49">
        <f>2494920809+320467619</f>
        <v>2815388428</v>
      </c>
    </row>
    <row r="15" spans="1:12">
      <c r="B15" t="s">
        <v>22</v>
      </c>
      <c r="C15" s="54">
        <v>812397864</v>
      </c>
      <c r="D15" s="54">
        <v>367992386</v>
      </c>
      <c r="E15" s="3">
        <v>204452983</v>
      </c>
      <c r="F15" s="3">
        <v>38888270</v>
      </c>
      <c r="G15" s="3">
        <v>19430381</v>
      </c>
      <c r="H15" s="3">
        <v>20011631</v>
      </c>
      <c r="I15" s="49">
        <v>710399926</v>
      </c>
      <c r="J15" s="49">
        <v>921383461</v>
      </c>
      <c r="K15" s="49">
        <v>871597857</v>
      </c>
      <c r="L15" s="49">
        <v>569748367</v>
      </c>
    </row>
    <row r="16" spans="1:12">
      <c r="B16" t="s">
        <v>23</v>
      </c>
      <c r="C16" s="54">
        <v>8157067130</v>
      </c>
      <c r="D16" s="54">
        <v>7128016386</v>
      </c>
      <c r="E16" s="3">
        <v>5257513588</v>
      </c>
      <c r="F16" s="3">
        <v>4311233501</v>
      </c>
      <c r="G16" s="3">
        <v>3734495117</v>
      </c>
      <c r="H16" s="3">
        <v>3457428686</v>
      </c>
      <c r="I16" s="49">
        <v>3593707590</v>
      </c>
      <c r="J16" s="49">
        <v>3716260518</v>
      </c>
      <c r="K16" s="49">
        <v>3636343106</v>
      </c>
      <c r="L16" s="49">
        <v>2762405078</v>
      </c>
    </row>
    <row r="17" spans="1:12">
      <c r="B17" t="s">
        <v>24</v>
      </c>
      <c r="C17" s="54">
        <v>305455256</v>
      </c>
      <c r="D17" s="54">
        <v>316529520</v>
      </c>
      <c r="E17" s="3">
        <v>235934604</v>
      </c>
      <c r="F17" s="3">
        <v>238959820</v>
      </c>
      <c r="G17" s="3">
        <v>173525313</v>
      </c>
      <c r="H17" s="3">
        <v>222501827</v>
      </c>
      <c r="I17" s="49">
        <v>220126772</v>
      </c>
      <c r="J17" s="49">
        <v>195521295</v>
      </c>
      <c r="K17" s="49">
        <v>150956724</v>
      </c>
      <c r="L17" s="49">
        <v>178812459</v>
      </c>
    </row>
    <row r="18" spans="1:12">
      <c r="B18" t="s">
        <v>25</v>
      </c>
      <c r="C18" s="54">
        <v>126106574</v>
      </c>
      <c r="D18" s="54">
        <v>143819252</v>
      </c>
      <c r="E18" s="3">
        <v>138098796</v>
      </c>
      <c r="F18" s="3">
        <v>160746854</v>
      </c>
      <c r="G18" s="3">
        <v>526506578</v>
      </c>
      <c r="H18" s="3">
        <v>472000751</v>
      </c>
      <c r="I18" s="49">
        <v>510753825</v>
      </c>
      <c r="J18" s="49">
        <v>105412820</v>
      </c>
      <c r="K18" s="49">
        <v>118430342</v>
      </c>
      <c r="L18" s="49">
        <v>86561210</v>
      </c>
    </row>
    <row r="19" spans="1:12">
      <c r="B19" t="s">
        <v>16</v>
      </c>
      <c r="C19" s="54">
        <v>317730736</v>
      </c>
      <c r="D19" s="54">
        <v>281151242</v>
      </c>
      <c r="E19" s="3">
        <v>273366871</v>
      </c>
      <c r="F19" s="3">
        <v>158536366</v>
      </c>
      <c r="G19" s="3">
        <v>252804600</v>
      </c>
      <c r="H19" s="3">
        <v>320404434</v>
      </c>
      <c r="I19" s="49">
        <v>313634314</v>
      </c>
      <c r="J19" s="49">
        <v>259548554</v>
      </c>
      <c r="K19" s="49">
        <v>174699089</v>
      </c>
    </row>
    <row r="20" spans="1:12">
      <c r="B20" t="s">
        <v>26</v>
      </c>
      <c r="C20" s="54"/>
      <c r="D20" s="54"/>
      <c r="E20" s="3"/>
      <c r="F20" s="3"/>
      <c r="G20" s="3"/>
      <c r="H20" s="3"/>
      <c r="I20" s="49">
        <v>842960</v>
      </c>
      <c r="J20" s="49">
        <v>1210710</v>
      </c>
      <c r="K20" s="49">
        <v>289450</v>
      </c>
    </row>
    <row r="21" spans="1:12">
      <c r="B21" t="s">
        <v>27</v>
      </c>
      <c r="C21" s="54"/>
      <c r="D21" s="54">
        <v>316416243</v>
      </c>
      <c r="E21" s="3"/>
      <c r="F21" s="3"/>
      <c r="G21" s="3"/>
      <c r="H21" s="3"/>
      <c r="I21" s="49">
        <v>190000000</v>
      </c>
    </row>
    <row r="22" spans="1:12">
      <c r="B22" t="s">
        <v>28</v>
      </c>
      <c r="C22" s="54"/>
      <c r="D22" s="54"/>
      <c r="E22" s="3"/>
      <c r="F22" s="3"/>
      <c r="G22" s="3">
        <v>160000000</v>
      </c>
      <c r="H22" s="3"/>
      <c r="K22" s="49">
        <v>16936288</v>
      </c>
      <c r="L22" s="49">
        <v>14065004</v>
      </c>
    </row>
    <row r="23" spans="1:12">
      <c r="B23" t="s">
        <v>29</v>
      </c>
      <c r="C23" s="54">
        <v>30104757</v>
      </c>
      <c r="D23" s="54">
        <v>28891321</v>
      </c>
      <c r="E23" s="3">
        <v>316416243</v>
      </c>
      <c r="F23" s="3">
        <v>461516243</v>
      </c>
      <c r="G23" s="3"/>
      <c r="H23" s="3">
        <v>180000000</v>
      </c>
      <c r="J23" s="49">
        <v>190000000</v>
      </c>
    </row>
    <row r="24" spans="1:12">
      <c r="B24" t="s">
        <v>30</v>
      </c>
      <c r="C24" s="54">
        <v>375065926</v>
      </c>
      <c r="D24" s="54">
        <v>421037651</v>
      </c>
      <c r="E24" s="3">
        <v>405970299</v>
      </c>
      <c r="F24" s="3">
        <v>432928880</v>
      </c>
      <c r="G24" s="3">
        <v>520610364</v>
      </c>
      <c r="H24" s="3">
        <v>518504986</v>
      </c>
      <c r="I24" s="49">
        <v>252461078</v>
      </c>
      <c r="J24" s="43">
        <v>316748737</v>
      </c>
      <c r="K24" s="49">
        <v>193403942</v>
      </c>
      <c r="L24" s="49">
        <v>204648718</v>
      </c>
    </row>
    <row r="25" s="13" customFormat="1" spans="1:12">
      <c r="A25" s="13" t="s">
        <v>31</v>
      </c>
      <c r="C25" s="53">
        <f>SUM(C26:C31)</f>
        <v>25921750571</v>
      </c>
      <c r="D25" s="53">
        <f>SUM(D26:D31)</f>
        <v>22371514457</v>
      </c>
      <c r="E25" s="53">
        <f t="shared" ref="E25:F25" si="11">SUM(E26:E31)</f>
        <v>20039597823</v>
      </c>
      <c r="F25" s="53">
        <f t="shared" si="11"/>
        <v>18909202022</v>
      </c>
      <c r="G25" s="53">
        <f t="shared" ref="G25" si="12">SUM(G26:G31)</f>
        <v>19078628686</v>
      </c>
      <c r="H25" s="53">
        <f t="shared" ref="H25:L25" si="13">SUM(H26:H31)</f>
        <v>20153605835</v>
      </c>
      <c r="I25" s="53">
        <f t="shared" si="13"/>
        <v>18450256913</v>
      </c>
      <c r="J25" s="53">
        <f t="shared" si="13"/>
        <v>16310925095</v>
      </c>
      <c r="K25" s="53">
        <f t="shared" si="13"/>
        <v>14602656847</v>
      </c>
      <c r="L25" s="53">
        <f t="shared" si="13"/>
        <v>12043995724</v>
      </c>
    </row>
    <row r="26" spans="1:12">
      <c r="B26" t="s">
        <v>32</v>
      </c>
      <c r="C26" s="54">
        <v>16449536181</v>
      </c>
      <c r="D26" s="54">
        <v>14955242773</v>
      </c>
      <c r="E26" s="3">
        <v>14445878801</v>
      </c>
      <c r="F26" s="3">
        <v>14501764063</v>
      </c>
      <c r="G26" s="3">
        <v>14260438910</v>
      </c>
      <c r="H26" s="3">
        <v>14520366436</v>
      </c>
      <c r="I26" s="49">
        <v>13629887296</v>
      </c>
      <c r="J26" s="43">
        <v>11332521554</v>
      </c>
      <c r="K26" s="49">
        <v>9267464872</v>
      </c>
      <c r="L26" s="49">
        <v>7688519842</v>
      </c>
    </row>
    <row r="27" spans="1:12">
      <c r="B27" t="s">
        <v>33</v>
      </c>
      <c r="C27" s="54">
        <v>6509671375</v>
      </c>
      <c r="D27" s="54">
        <v>4766144830</v>
      </c>
      <c r="E27" s="3">
        <v>3133499992</v>
      </c>
      <c r="F27" s="3">
        <v>1976816816</v>
      </c>
      <c r="G27" s="3">
        <v>2354298463</v>
      </c>
      <c r="H27" s="3">
        <v>2901032823</v>
      </c>
      <c r="I27" s="49">
        <v>2936812592</v>
      </c>
      <c r="J27" s="49">
        <v>3366783284</v>
      </c>
      <c r="K27" s="49">
        <v>3821964355</v>
      </c>
      <c r="L27" s="49">
        <v>2842566308</v>
      </c>
    </row>
    <row r="28" spans="1:12">
      <c r="B28" t="s">
        <v>34</v>
      </c>
      <c r="C28" s="54">
        <v>532127082</v>
      </c>
      <c r="D28" s="54">
        <v>628448631</v>
      </c>
      <c r="E28" s="3">
        <v>575442101</v>
      </c>
      <c r="F28" s="3">
        <v>595392579</v>
      </c>
      <c r="G28" s="3">
        <v>607068550</v>
      </c>
      <c r="H28" s="3">
        <v>701329178</v>
      </c>
    </row>
    <row r="29" spans="1:12">
      <c r="B29" t="s">
        <v>35</v>
      </c>
      <c r="C29" s="54">
        <v>1600767546</v>
      </c>
      <c r="D29" s="54">
        <v>1315862480</v>
      </c>
      <c r="E29" s="3">
        <v>1245410813</v>
      </c>
      <c r="F29" s="3">
        <v>1235091876</v>
      </c>
      <c r="G29" s="3">
        <v>1270843245</v>
      </c>
      <c r="H29" s="3">
        <v>1337282523</v>
      </c>
      <c r="I29" s="49">
        <v>1219578721</v>
      </c>
      <c r="J29" s="49">
        <v>1098130404</v>
      </c>
      <c r="K29" s="49">
        <v>1148077027</v>
      </c>
      <c r="L29" s="49">
        <v>1179236213</v>
      </c>
    </row>
    <row r="30" spans="1:12">
      <c r="B30" t="s">
        <v>36</v>
      </c>
      <c r="C30" s="54">
        <v>153707174</v>
      </c>
      <c r="D30" s="54">
        <v>154940513</v>
      </c>
      <c r="E30" s="3">
        <v>154940513</v>
      </c>
      <c r="F30" s="3">
        <v>154940513</v>
      </c>
      <c r="G30" s="3">
        <v>154940513</v>
      </c>
      <c r="H30" s="3">
        <v>154940513</v>
      </c>
      <c r="I30" s="49">
        <v>153707174</v>
      </c>
      <c r="J30" s="49">
        <v>74678326</v>
      </c>
      <c r="K30" s="49">
        <v>74678326</v>
      </c>
      <c r="L30" s="49">
        <v>74678326</v>
      </c>
    </row>
    <row r="31" spans="1:12">
      <c r="B31" t="s">
        <v>37</v>
      </c>
      <c r="C31" s="54">
        <v>675941213</v>
      </c>
      <c r="D31" s="54">
        <v>550875230</v>
      </c>
      <c r="E31" s="3">
        <v>484425603</v>
      </c>
      <c r="F31" s="3">
        <v>445196175</v>
      </c>
      <c r="G31" s="3">
        <v>431039005</v>
      </c>
      <c r="H31" s="3">
        <v>538654362</v>
      </c>
      <c r="I31" s="49">
        <v>510271130</v>
      </c>
      <c r="J31" s="49">
        <v>438811527</v>
      </c>
      <c r="K31" s="49">
        <v>290472267</v>
      </c>
      <c r="L31" s="49">
        <v>258995035</v>
      </c>
    </row>
    <row r="32" spans="1:12">
      <c r="C32" s="54"/>
      <c r="D32" s="54"/>
      <c r="E32" s="3"/>
      <c r="F32" s="3"/>
      <c r="G32" s="3"/>
      <c r="H32" s="3"/>
    </row>
    <row r="33" spans="1:12">
      <c r="A33" s="13" t="s">
        <v>38</v>
      </c>
      <c r="C33" s="53">
        <f>C35+C49</f>
        <v>27568613358</v>
      </c>
      <c r="D33" s="53">
        <f>D35+D49</f>
        <v>25219085168</v>
      </c>
      <c r="E33" s="53">
        <f t="shared" ref="E33:H33" si="14">E35+E49</f>
        <v>21779200663</v>
      </c>
      <c r="F33" s="53">
        <f t="shared" si="14"/>
        <v>18490789663</v>
      </c>
      <c r="G33" s="53">
        <f t="shared" si="14"/>
        <v>16832717886</v>
      </c>
      <c r="H33" s="53">
        <f t="shared" si="14"/>
        <v>17457198085</v>
      </c>
      <c r="I33" s="53">
        <f t="shared" ref="I33:L33" si="15">I35+I49</f>
        <v>14300566064</v>
      </c>
      <c r="J33" s="53">
        <f t="shared" si="15"/>
        <v>13123026239</v>
      </c>
      <c r="K33" s="53">
        <f t="shared" si="15"/>
        <v>11827299629</v>
      </c>
      <c r="L33" s="53">
        <f t="shared" si="15"/>
        <v>8411904960</v>
      </c>
    </row>
    <row r="34" spans="1:12">
      <c r="C34" s="54"/>
      <c r="D34" s="54"/>
      <c r="E34" s="3"/>
      <c r="F34" s="3"/>
      <c r="G34" s="3"/>
      <c r="H34" s="3"/>
      <c r="I34" s="3"/>
      <c r="J34" s="3"/>
      <c r="K34" s="3"/>
      <c r="L34" s="3"/>
    </row>
    <row r="35" s="13" customFormat="1" spans="1:12">
      <c r="A35" s="13" t="s">
        <v>39</v>
      </c>
      <c r="C35" s="53">
        <f>SUM(C36:C48)</f>
        <v>12573314784</v>
      </c>
      <c r="D35" s="53">
        <f>SUM(D36:D48)</f>
        <v>10683161206</v>
      </c>
      <c r="E35" s="53">
        <f t="shared" ref="E35:F35" si="16">SUM(E36:E48)</f>
        <v>8767191100</v>
      </c>
      <c r="F35" s="53">
        <f t="shared" si="16"/>
        <v>7285142620</v>
      </c>
      <c r="G35" s="53">
        <f t="shared" ref="G35:H35" si="17">SUM(G36:G48)</f>
        <v>6398132763</v>
      </c>
      <c r="H35" s="53">
        <f t="shared" si="17"/>
        <v>6073728547</v>
      </c>
      <c r="I35" s="53">
        <f t="shared" ref="I35:L35" si="18">SUM(I36:I48)</f>
        <v>5897287132</v>
      </c>
      <c r="J35" s="53">
        <f t="shared" si="18"/>
        <v>5202569264</v>
      </c>
      <c r="K35" s="53">
        <f t="shared" si="18"/>
        <v>4566840489</v>
      </c>
      <c r="L35" s="53">
        <f t="shared" si="18"/>
        <v>3669285297</v>
      </c>
    </row>
    <row r="36" spans="1:12">
      <c r="B36" t="s">
        <v>40</v>
      </c>
      <c r="C36" s="54">
        <v>3007490592</v>
      </c>
      <c r="D36" s="54">
        <v>2825386573</v>
      </c>
      <c r="E36" s="3">
        <v>2128399828</v>
      </c>
      <c r="F36" s="3">
        <v>1623267716</v>
      </c>
      <c r="G36" s="3">
        <v>1166210433</v>
      </c>
      <c r="H36" s="3">
        <v>860739543</v>
      </c>
      <c r="K36" s="49">
        <v>613982362</v>
      </c>
      <c r="L36" s="49">
        <v>460160232</v>
      </c>
    </row>
    <row r="37" spans="1:12">
      <c r="B37" t="s">
        <v>41</v>
      </c>
      <c r="C37" s="54">
        <v>2795604397</v>
      </c>
      <c r="D37" s="54">
        <v>2697600166</v>
      </c>
      <c r="E37" s="3">
        <v>2025309794</v>
      </c>
      <c r="F37" s="3">
        <v>1524955089</v>
      </c>
      <c r="G37" s="3">
        <v>1299794957</v>
      </c>
      <c r="H37" s="3">
        <v>1236580062</v>
      </c>
      <c r="I37" s="49">
        <v>2465349981</v>
      </c>
      <c r="J37" s="49">
        <v>2401097118</v>
      </c>
      <c r="K37" s="49">
        <v>1300220344</v>
      </c>
      <c r="L37" s="49">
        <v>909111745</v>
      </c>
    </row>
    <row r="38" spans="1:12">
      <c r="B38" t="s">
        <v>42</v>
      </c>
      <c r="C38" s="54"/>
      <c r="D38" s="54"/>
      <c r="E38" s="3"/>
      <c r="F38" s="3"/>
      <c r="G38" s="3"/>
      <c r="H38" s="3"/>
      <c r="I38" s="49"/>
      <c r="J38" s="49"/>
      <c r="K38" s="49">
        <v>21435585</v>
      </c>
      <c r="L38" s="49">
        <v>33985494</v>
      </c>
    </row>
    <row r="39" spans="1:12">
      <c r="B39" t="s">
        <v>43</v>
      </c>
      <c r="C39" s="54">
        <v>807312590</v>
      </c>
      <c r="D39" s="54">
        <v>979067305</v>
      </c>
      <c r="E39" s="3">
        <v>931585408</v>
      </c>
      <c r="F39" s="3">
        <v>863737090</v>
      </c>
      <c r="G39" s="3">
        <v>756282114</v>
      </c>
      <c r="H39" s="3">
        <v>695400166</v>
      </c>
      <c r="I39" s="49">
        <v>594503112</v>
      </c>
      <c r="J39" s="43">
        <v>442282880</v>
      </c>
    </row>
    <row r="40" spans="1:12">
      <c r="B40" t="s">
        <v>44</v>
      </c>
      <c r="C40" s="54">
        <v>972229163</v>
      </c>
      <c r="D40" s="54">
        <v>816372688</v>
      </c>
      <c r="E40" s="3">
        <v>660389674</v>
      </c>
      <c r="F40" s="3">
        <v>530495062</v>
      </c>
      <c r="G40" s="3">
        <v>489357281</v>
      </c>
      <c r="H40" s="3">
        <v>473972041</v>
      </c>
      <c r="I40" s="49">
        <v>483015711</v>
      </c>
      <c r="J40" s="49">
        <v>439505286</v>
      </c>
      <c r="K40" s="49">
        <v>420291759</v>
      </c>
      <c r="L40" s="49">
        <v>353759783</v>
      </c>
    </row>
    <row r="41" spans="1:12">
      <c r="B41" t="s">
        <v>45</v>
      </c>
      <c r="C41" s="54">
        <v>600754415</v>
      </c>
      <c r="D41" s="54">
        <v>546430527</v>
      </c>
      <c r="E41" s="3">
        <v>404719169</v>
      </c>
      <c r="F41" s="3">
        <v>319532528</v>
      </c>
      <c r="G41" s="3">
        <v>302321505</v>
      </c>
      <c r="H41" s="3">
        <v>344357096</v>
      </c>
      <c r="I41" s="49">
        <v>449716675</v>
      </c>
      <c r="J41" s="49">
        <v>313192643</v>
      </c>
      <c r="K41" s="49">
        <v>558062870</v>
      </c>
      <c r="L41" s="49">
        <v>335339211</v>
      </c>
    </row>
    <row r="42" spans="1:12">
      <c r="B42" t="s">
        <v>46</v>
      </c>
      <c r="C42" s="54">
        <v>2226134441</v>
      </c>
      <c r="D42" s="54">
        <v>1622250140</v>
      </c>
      <c r="E42" s="3">
        <v>1681942320</v>
      </c>
      <c r="F42" s="3">
        <v>1496548775</v>
      </c>
      <c r="G42" s="3">
        <v>1376997551</v>
      </c>
      <c r="H42" s="3">
        <v>1555660964</v>
      </c>
      <c r="I42" s="49">
        <v>1208118598</v>
      </c>
      <c r="J42" s="49">
        <v>1069106178</v>
      </c>
      <c r="K42" s="49">
        <v>1090612474</v>
      </c>
      <c r="L42" s="49">
        <f>1087807096+9551912</f>
        <v>1097359008</v>
      </c>
    </row>
    <row r="43" spans="1:12">
      <c r="B43" t="s">
        <v>47</v>
      </c>
      <c r="C43" s="54">
        <v>140768878</v>
      </c>
      <c r="D43" s="54"/>
      <c r="H43" s="3"/>
      <c r="I43" s="49"/>
      <c r="K43" s="49"/>
    </row>
    <row r="44" spans="1:12">
      <c r="B44" t="s">
        <v>48</v>
      </c>
      <c r="C44" s="54">
        <v>819351754</v>
      </c>
      <c r="D44" s="54">
        <v>725121670</v>
      </c>
      <c r="E44" s="3">
        <v>671049135</v>
      </c>
      <c r="F44" s="3">
        <v>677682302</v>
      </c>
      <c r="G44" s="3">
        <v>735789390</v>
      </c>
      <c r="H44" s="3">
        <v>673448373</v>
      </c>
      <c r="I44" s="49">
        <v>536834206</v>
      </c>
      <c r="J44" s="49">
        <v>461594918</v>
      </c>
      <c r="K44" s="49">
        <v>481827522</v>
      </c>
      <c r="L44" s="49">
        <v>386986443</v>
      </c>
    </row>
    <row r="45" spans="1:12">
      <c r="B45" t="s">
        <v>49</v>
      </c>
      <c r="C45" s="54">
        <v>53855052</v>
      </c>
      <c r="D45" s="54">
        <v>59287444</v>
      </c>
      <c r="E45" s="3">
        <v>64473498</v>
      </c>
      <c r="F45" s="3">
        <v>69424385</v>
      </c>
      <c r="G45" s="3">
        <v>75694702</v>
      </c>
      <c r="H45" s="3">
        <v>72490512</v>
      </c>
    </row>
    <row r="46" spans="1:12">
      <c r="B46" t="s">
        <v>50</v>
      </c>
      <c r="C46" s="54">
        <v>34486563</v>
      </c>
      <c r="D46" s="54"/>
      <c r="E46" s="3"/>
      <c r="F46" s="3"/>
      <c r="G46" s="3"/>
      <c r="H46" s="3"/>
    </row>
    <row r="47" spans="1:12">
      <c r="B47" t="s">
        <v>51</v>
      </c>
      <c r="C47" s="54">
        <v>410555755</v>
      </c>
      <c r="D47" s="54"/>
      <c r="E47" s="3"/>
      <c r="F47" s="3"/>
      <c r="G47" s="3"/>
      <c r="H47" s="3"/>
    </row>
    <row r="48" spans="1:12">
      <c r="B48" t="s">
        <v>52</v>
      </c>
      <c r="C48" s="54">
        <v>704771184</v>
      </c>
      <c r="D48" s="54">
        <v>411644693</v>
      </c>
      <c r="E48" s="3">
        <v>199322274</v>
      </c>
      <c r="F48" s="3">
        <v>179499673</v>
      </c>
      <c r="G48" s="3">
        <v>195684830</v>
      </c>
      <c r="H48" s="3">
        <v>161079790</v>
      </c>
      <c r="I48" s="49">
        <v>159748849</v>
      </c>
      <c r="J48" s="49">
        <v>75790241</v>
      </c>
      <c r="K48" s="49">
        <v>80407573</v>
      </c>
      <c r="L48" s="49">
        <v>92583381</v>
      </c>
    </row>
    <row r="49" s="13" customFormat="1" spans="1:12">
      <c r="A49" s="13" t="s">
        <v>53</v>
      </c>
      <c r="B49"/>
      <c r="C49" s="53">
        <f>SUM(C50:C57)</f>
        <v>14995298574</v>
      </c>
      <c r="D49" s="53">
        <f>SUM(D50:D57)</f>
        <v>14535923962</v>
      </c>
      <c r="E49" s="53">
        <f t="shared" ref="E49:F49" si="19">SUM(E50:E57)</f>
        <v>13012009563</v>
      </c>
      <c r="F49" s="53">
        <f t="shared" si="19"/>
        <v>11205647043</v>
      </c>
      <c r="G49" s="53">
        <f t="shared" ref="G49" si="20">SUM(G50:G57)</f>
        <v>10434585123</v>
      </c>
      <c r="H49" s="53">
        <f t="shared" ref="H49:L49" si="21">SUM(H50:H57)</f>
        <v>11383469538</v>
      </c>
      <c r="I49" s="53">
        <f t="shared" si="21"/>
        <v>8403278932</v>
      </c>
      <c r="J49" s="53">
        <f t="shared" si="21"/>
        <v>7920456975</v>
      </c>
      <c r="K49" s="53">
        <f t="shared" si="21"/>
        <v>7260459140</v>
      </c>
      <c r="L49" s="53">
        <f t="shared" si="21"/>
        <v>4742619663</v>
      </c>
    </row>
    <row r="50" s="13" customFormat="1" spans="1:12">
      <c r="B50" t="s">
        <v>54</v>
      </c>
      <c r="C50" s="56">
        <v>4588583967</v>
      </c>
      <c r="D50" s="56">
        <v>5413589161</v>
      </c>
      <c r="E50" s="62">
        <v>6076527372</v>
      </c>
      <c r="F50" s="62">
        <v>5925550792</v>
      </c>
      <c r="G50" s="62">
        <v>6165804499</v>
      </c>
      <c r="H50" s="62">
        <v>8491599785</v>
      </c>
      <c r="I50" s="49">
        <v>5548826223</v>
      </c>
      <c r="J50" s="49">
        <v>5379161092</v>
      </c>
      <c r="K50" s="49">
        <v>4255037518</v>
      </c>
      <c r="L50" s="49">
        <v>2636462068</v>
      </c>
    </row>
    <row r="51" s="13" customFormat="1" spans="1:12">
      <c r="B51" t="s">
        <v>55</v>
      </c>
      <c r="C51" s="54">
        <v>7212920000</v>
      </c>
      <c r="D51" s="56">
        <v>8513100000</v>
      </c>
      <c r="E51" s="62">
        <v>3007000000</v>
      </c>
      <c r="F51" s="62">
        <v>1138940000</v>
      </c>
      <c r="G51" s="62">
        <v>1985000000</v>
      </c>
      <c r="H51" s="62">
        <v>1193000000</v>
      </c>
      <c r="I51" s="49">
        <v>1246875075</v>
      </c>
      <c r="J51" s="49">
        <v>1711000000</v>
      </c>
      <c r="K51" s="49">
        <v>776000000</v>
      </c>
      <c r="L51" s="49">
        <v>848000000</v>
      </c>
    </row>
    <row r="52" s="13" customFormat="1" spans="1:12">
      <c r="B52" t="s">
        <v>56</v>
      </c>
      <c r="C52" s="54"/>
      <c r="D52" s="56"/>
      <c r="E52" s="62"/>
      <c r="F52" s="62"/>
      <c r="G52" s="62">
        <v>795244</v>
      </c>
      <c r="H52" s="62">
        <v>3795000</v>
      </c>
      <c r="I52" s="49">
        <v>3077741</v>
      </c>
      <c r="J52" s="49">
        <v>23190469</v>
      </c>
      <c r="L52" s="49">
        <v>925435</v>
      </c>
    </row>
    <row r="53" s="13" customFormat="1" spans="1:12">
      <c r="B53" t="s">
        <v>57</v>
      </c>
      <c r="C53" s="56"/>
      <c r="D53" s="56"/>
      <c r="E53" s="62"/>
      <c r="F53" s="62">
        <v>1198778297</v>
      </c>
      <c r="G53" s="62">
        <v>1198784928</v>
      </c>
      <c r="H53" s="60"/>
      <c r="J53" s="49">
        <v>798605414</v>
      </c>
      <c r="K53" s="49">
        <v>797530999</v>
      </c>
    </row>
    <row r="54" s="13" customFormat="1" spans="1:12">
      <c r="B54" t="s">
        <v>58</v>
      </c>
      <c r="C54" s="56"/>
      <c r="D54" s="56"/>
      <c r="E54" s="62"/>
      <c r="F54" s="62"/>
      <c r="G54" s="62"/>
      <c r="H54" s="60"/>
      <c r="J54" s="49"/>
      <c r="K54" s="49">
        <v>15286048</v>
      </c>
      <c r="L54" s="49">
        <v>22642760</v>
      </c>
    </row>
    <row r="55" s="13" customFormat="1" spans="1:12">
      <c r="B55" t="s">
        <v>47</v>
      </c>
      <c r="C55" s="56"/>
      <c r="D55" s="56"/>
      <c r="E55" s="3">
        <v>1306346479</v>
      </c>
      <c r="F55" s="3">
        <v>806775458</v>
      </c>
      <c r="G55" s="3">
        <v>303131507</v>
      </c>
      <c r="H55" s="60"/>
      <c r="I55" s="49">
        <v>300984971</v>
      </c>
      <c r="K55" s="49">
        <v>608604575</v>
      </c>
    </row>
    <row r="56" spans="1:12">
      <c r="B56" t="s">
        <v>59</v>
      </c>
      <c r="C56" s="54">
        <v>2850055339</v>
      </c>
      <c r="D56" s="56">
        <v>202102553</v>
      </c>
      <c r="E56" s="62">
        <v>2145153663</v>
      </c>
      <c r="F56" s="62">
        <v>1627919125</v>
      </c>
      <c r="G56" s="3">
        <v>270557753</v>
      </c>
      <c r="H56" s="3">
        <v>1123793163</v>
      </c>
      <c r="I56" s="49">
        <v>1303514922</v>
      </c>
      <c r="J56" s="49">
        <v>8500000</v>
      </c>
      <c r="K56" s="49">
        <v>808000000</v>
      </c>
      <c r="L56" s="49">
        <v>1234589400</v>
      </c>
    </row>
    <row r="57" spans="1:12">
      <c r="B57" t="s">
        <v>60</v>
      </c>
      <c r="C57" s="54">
        <v>343739268</v>
      </c>
      <c r="D57" s="56">
        <v>407132248</v>
      </c>
      <c r="E57" s="62">
        <v>476982049</v>
      </c>
      <c r="F57" s="62">
        <v>507683371</v>
      </c>
      <c r="G57" s="3">
        <v>510511192</v>
      </c>
      <c r="H57" s="3">
        <v>571281590</v>
      </c>
    </row>
    <row r="58" spans="1:12">
      <c r="E58" s="62"/>
      <c r="F58" s="62"/>
      <c r="G58" s="3"/>
      <c r="H58" s="3"/>
    </row>
    <row r="59" spans="1:12">
      <c r="C59" s="54"/>
      <c r="D59" s="54"/>
      <c r="E59" s="3"/>
      <c r="F59" s="3"/>
      <c r="G59" s="3"/>
      <c r="H59" s="3"/>
    </row>
    <row r="60" spans="1:12">
      <c r="A60" s="13" t="s">
        <v>61</v>
      </c>
      <c r="C60" s="53">
        <f>SUM(C61:C67)</f>
        <v>35685569178</v>
      </c>
      <c r="D60" s="53">
        <f>SUM(D61:D67)</f>
        <v>31411322327</v>
      </c>
      <c r="E60" s="53">
        <f t="shared" ref="E60:F60" si="22">SUM(E61:E67)</f>
        <v>28988298128</v>
      </c>
      <c r="F60" s="53">
        <f t="shared" si="22"/>
        <v>26294104291</v>
      </c>
      <c r="G60" s="53">
        <f t="shared" ref="G60" si="23">SUM(G61:G67)</f>
        <v>21590907298</v>
      </c>
      <c r="H60" s="53">
        <f t="shared" ref="H60:L60" si="24">SUM(H61:H67)</f>
        <v>21369081522</v>
      </c>
      <c r="I60" s="53">
        <f t="shared" si="24"/>
        <v>20189872606</v>
      </c>
      <c r="J60" s="53">
        <f t="shared" si="24"/>
        <v>18797871807</v>
      </c>
      <c r="K60" s="53">
        <f t="shared" si="24"/>
        <v>18038545794</v>
      </c>
      <c r="L60" s="53">
        <f t="shared" si="24"/>
        <v>16415066432</v>
      </c>
    </row>
    <row r="61" spans="1:12">
      <c r="B61" t="s">
        <v>62</v>
      </c>
      <c r="C61" s="54">
        <v>2609743532</v>
      </c>
      <c r="D61" s="54">
        <v>2609743532</v>
      </c>
      <c r="E61" s="3">
        <v>2609743532</v>
      </c>
      <c r="F61" s="3">
        <v>2609743532</v>
      </c>
      <c r="G61" s="3">
        <v>2508617532</v>
      </c>
      <c r="H61" s="3">
        <v>2508617532</v>
      </c>
      <c r="I61" s="49">
        <v>2508617532</v>
      </c>
      <c r="J61" s="49">
        <v>2508617532</v>
      </c>
      <c r="K61" s="49">
        <v>2508617532</v>
      </c>
      <c r="L61" s="49">
        <v>2508617532</v>
      </c>
    </row>
    <row r="62" spans="1:12">
      <c r="B62" t="s">
        <v>63</v>
      </c>
      <c r="C62" s="54">
        <v>9700750924</v>
      </c>
      <c r="D62" s="54">
        <v>9700750924</v>
      </c>
      <c r="E62" s="3">
        <v>9700750924</v>
      </c>
      <c r="F62" s="3">
        <v>9700750924</v>
      </c>
      <c r="G62" s="3">
        <v>6222912435</v>
      </c>
      <c r="H62" s="3">
        <v>6223078157</v>
      </c>
      <c r="I62" s="49">
        <v>6223078157</v>
      </c>
      <c r="J62" s="49">
        <v>6224133097</v>
      </c>
      <c r="K62" s="49">
        <v>6228753097</v>
      </c>
      <c r="L62" s="49">
        <v>6228932452</v>
      </c>
    </row>
    <row r="63" spans="1:12">
      <c r="B63" t="s">
        <v>64</v>
      </c>
      <c r="C63" s="54"/>
      <c r="D63" s="54"/>
      <c r="E63" s="3"/>
      <c r="F63" s="3"/>
      <c r="G63" s="3"/>
      <c r="H63" s="3"/>
    </row>
    <row r="64" spans="1:12">
      <c r="B64" t="s">
        <v>65</v>
      </c>
      <c r="C64" s="54">
        <v>339806293</v>
      </c>
      <c r="D64" s="54">
        <v>176931220</v>
      </c>
      <c r="E64" s="3">
        <v>120835879</v>
      </c>
      <c r="F64" s="3">
        <v>-430305845</v>
      </c>
      <c r="G64" s="3">
        <v>-373980332</v>
      </c>
      <c r="H64" s="3">
        <v>121015957</v>
      </c>
      <c r="I64" s="49">
        <v>-41473936</v>
      </c>
      <c r="J64" s="49">
        <v>-204408762</v>
      </c>
      <c r="K64" s="49">
        <v>91038123</v>
      </c>
      <c r="L64" s="49">
        <v>-271367181</v>
      </c>
    </row>
    <row r="65" spans="2:12">
      <c r="B65" t="s">
        <v>66</v>
      </c>
      <c r="C65" s="54">
        <v>4418068403</v>
      </c>
      <c r="D65" s="54">
        <v>3931592517</v>
      </c>
      <c r="E65" s="3">
        <v>3581885299</v>
      </c>
      <c r="F65" s="3">
        <v>3180340261</v>
      </c>
      <c r="G65" s="3">
        <v>2931419311</v>
      </c>
      <c r="H65" s="3">
        <v>2688959735</v>
      </c>
      <c r="I65" s="49">
        <v>2350361581</v>
      </c>
      <c r="J65" s="43">
        <v>1912821638</v>
      </c>
      <c r="K65" s="49">
        <v>1634319463</v>
      </c>
      <c r="L65" s="49">
        <v>1343078789</v>
      </c>
    </row>
    <row r="66" spans="2:12">
      <c r="B66" t="s">
        <v>67</v>
      </c>
      <c r="C66" s="54">
        <v>18625997091</v>
      </c>
      <c r="D66" s="54">
        <v>15007163446</v>
      </c>
      <c r="E66" s="3">
        <v>12989794025</v>
      </c>
      <c r="F66" s="3">
        <v>11245487054</v>
      </c>
      <c r="G66" s="3">
        <v>10305548562</v>
      </c>
      <c r="H66" s="3">
        <v>9828694828</v>
      </c>
      <c r="I66" s="49">
        <v>9150322858</v>
      </c>
      <c r="J66" s="43">
        <v>8352285561</v>
      </c>
      <c r="K66" s="49">
        <v>7570889309</v>
      </c>
      <c r="L66" s="49">
        <v>6599365793</v>
      </c>
    </row>
    <row r="67" spans="2:12">
      <c r="B67" t="s">
        <v>68</v>
      </c>
      <c r="C67" s="54">
        <v>-8797065</v>
      </c>
      <c r="D67" s="54">
        <v>-14859312</v>
      </c>
      <c r="E67" s="3">
        <v>-14711531</v>
      </c>
      <c r="F67" s="3">
        <v>-11911635</v>
      </c>
      <c r="G67" s="3">
        <v>-3610210</v>
      </c>
      <c r="H67" s="3">
        <v>-1284687</v>
      </c>
      <c r="I67" s="49">
        <v>-1033586</v>
      </c>
      <c r="J67" s="49">
        <v>4422741</v>
      </c>
      <c r="K67" s="49">
        <v>4928270</v>
      </c>
      <c r="L67" s="49">
        <v>6439047</v>
      </c>
    </row>
    <row r="68" spans="2:12">
      <c r="C68" s="54"/>
      <c r="D68" s="54"/>
      <c r="E68" s="3"/>
      <c r="F68" s="3"/>
      <c r="G68" s="3"/>
      <c r="H68" s="3"/>
    </row>
    <row r="69" spans="2:12">
      <c r="C69" s="54">
        <f>C60+C33</f>
        <v>63254182536</v>
      </c>
      <c r="D69" s="54">
        <f>D60+D33</f>
        <v>56630407495</v>
      </c>
      <c r="E69" s="54">
        <f t="shared" ref="E69:L69" si="25">E60+E33</f>
        <v>50767498791</v>
      </c>
      <c r="F69" s="54">
        <f t="shared" si="25"/>
        <v>44784893954</v>
      </c>
      <c r="G69" s="54">
        <f t="shared" si="25"/>
        <v>38423625184</v>
      </c>
      <c r="H69" s="54">
        <f t="shared" si="25"/>
        <v>38826279607</v>
      </c>
      <c r="I69" s="54">
        <f t="shared" si="25"/>
        <v>34490438670</v>
      </c>
      <c r="J69" s="54">
        <f t="shared" si="25"/>
        <v>31920898046</v>
      </c>
      <c r="K69" s="54">
        <f t="shared" si="25"/>
        <v>29865845423</v>
      </c>
      <c r="L69" s="54">
        <f t="shared" si="25"/>
        <v>24826971392</v>
      </c>
    </row>
    <row r="70" spans="2:12">
      <c r="C70" s="54"/>
      <c r="D70" s="54"/>
    </row>
    <row r="71" spans="2:12">
      <c r="B71" s="48" t="s">
        <v>69</v>
      </c>
      <c r="C71" s="44">
        <v>4697538357.6</v>
      </c>
      <c r="D71" s="58">
        <v>3392666591.6</v>
      </c>
      <c r="E71" s="44">
        <v>3262179415</v>
      </c>
      <c r="F71" s="44">
        <v>2609743532</v>
      </c>
      <c r="G71" s="44">
        <v>1957307649</v>
      </c>
      <c r="H71" s="44">
        <v>1881463149</v>
      </c>
      <c r="I71" s="44">
        <v>2884910162</v>
      </c>
      <c r="J71" s="44">
        <v>1881463149</v>
      </c>
      <c r="K71" s="44">
        <v>1881463149</v>
      </c>
      <c r="L71" s="44">
        <v>1881463149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26" sqref="A26"/>
    </sheetView>
  </sheetViews>
  <sheetFormatPr defaultColWidth="8.83035714285714" defaultRowHeight="16.8"/>
  <cols>
    <col min="1" max="1" width="48.3303571428571" style="48" customWidth="1"/>
    <col min="2" max="3" width="17.3303571428571" customWidth="1"/>
    <col min="4" max="5" width="15.5" customWidth="1"/>
    <col min="6" max="7" width="15.1607142857143" customWidth="1"/>
    <col min="8" max="9" width="15.5" customWidth="1"/>
    <col min="10" max="11" width="14.3303571428571" customWidth="1"/>
  </cols>
  <sheetData>
    <row r="1" spans="1:11">
      <c r="B1" s="40">
        <v>2024</v>
      </c>
      <c r="C1" s="40">
        <v>2023</v>
      </c>
      <c r="D1" s="40">
        <v>2022</v>
      </c>
      <c r="E1" s="40">
        <v>2021</v>
      </c>
      <c r="F1" s="40">
        <v>2020</v>
      </c>
      <c r="G1" s="40">
        <v>2019</v>
      </c>
      <c r="H1" s="40">
        <v>2018</v>
      </c>
      <c r="I1" s="40">
        <v>2017</v>
      </c>
      <c r="J1" s="40">
        <v>2016</v>
      </c>
      <c r="K1" s="40">
        <v>2015</v>
      </c>
    </row>
    <row r="2" s="13" customFormat="1" spans="1:11">
      <c r="A2" s="13" t="s">
        <v>70</v>
      </c>
      <c r="B2" s="41">
        <v>39251657267</v>
      </c>
      <c r="C2" s="41">
        <v>33160996641</v>
      </c>
      <c r="D2" s="41">
        <v>28098754166</v>
      </c>
      <c r="E2" s="41">
        <v>23603063361</v>
      </c>
      <c r="F2" s="41">
        <v>19906593468</v>
      </c>
      <c r="G2" s="41">
        <v>21103877523</v>
      </c>
      <c r="H2" s="49">
        <v>20224985720</v>
      </c>
      <c r="I2" s="49">
        <v>18713034974</v>
      </c>
      <c r="J2" s="49">
        <v>16621336273</v>
      </c>
      <c r="K2" s="49">
        <v>13573495055</v>
      </c>
    </row>
    <row r="3" spans="1:11">
      <c r="A3" s="6" t="s">
        <v>71</v>
      </c>
      <c r="B3" s="44">
        <v>25030877441</v>
      </c>
      <c r="C3" s="44">
        <v>21424326140</v>
      </c>
      <c r="D3" s="44">
        <v>18535445134</v>
      </c>
      <c r="E3" s="44">
        <v>15129053236</v>
      </c>
      <c r="F3" s="44">
        <v>12042217543</v>
      </c>
      <c r="G3" s="44">
        <v>13197554393</v>
      </c>
      <c r="H3" s="49">
        <v>11603054947</v>
      </c>
      <c r="I3" s="49">
        <v>10712611816</v>
      </c>
      <c r="J3" s="49">
        <v>9463313931</v>
      </c>
      <c r="K3" s="49">
        <v>7814343237</v>
      </c>
    </row>
    <row r="4" spans="1:11">
      <c r="A4" s="6" t="s">
        <v>72</v>
      </c>
      <c r="B4" s="50">
        <f>1-B3/B2</f>
        <v>0.362297564387321</v>
      </c>
      <c r="C4" s="50">
        <f>1-C3/C2</f>
        <v>0.353929968633357</v>
      </c>
      <c r="D4" s="50">
        <f t="shared" ref="D4:K4" si="0">1-D3/D2</f>
        <v>0.340346371782268</v>
      </c>
      <c r="E4" s="50">
        <f t="shared" si="0"/>
        <v>0.359021623396641</v>
      </c>
      <c r="F4" s="50">
        <f t="shared" si="0"/>
        <v>0.395063873567421</v>
      </c>
      <c r="G4" s="50">
        <f t="shared" si="0"/>
        <v>0.374638410471408</v>
      </c>
      <c r="H4" s="50">
        <f t="shared" si="0"/>
        <v>0.426300957259712</v>
      </c>
      <c r="I4" s="50">
        <f t="shared" si="0"/>
        <v>0.427532100972174</v>
      </c>
      <c r="J4" s="50">
        <f t="shared" si="0"/>
        <v>0.430652639741585</v>
      </c>
      <c r="K4" s="50">
        <f t="shared" si="0"/>
        <v>0.424293948954476</v>
      </c>
    </row>
    <row r="5" spans="1:11">
      <c r="A5" s="6" t="s">
        <v>73</v>
      </c>
      <c r="B5" s="44">
        <v>285987048</v>
      </c>
      <c r="C5" s="44">
        <v>239896621</v>
      </c>
      <c r="D5" s="44">
        <v>225341476</v>
      </c>
      <c r="E5" s="44">
        <v>204629142</v>
      </c>
      <c r="F5" s="44">
        <v>198182840</v>
      </c>
      <c r="G5" s="44">
        <v>197816747</v>
      </c>
      <c r="H5" s="49">
        <v>203072222</v>
      </c>
      <c r="I5" s="49">
        <v>200263617</v>
      </c>
      <c r="J5" s="49">
        <v>174265074</v>
      </c>
      <c r="K5" s="49">
        <v>112453855</v>
      </c>
    </row>
    <row r="6" spans="1:11">
      <c r="A6" s="6" t="s">
        <v>74</v>
      </c>
      <c r="B6" s="44">
        <v>1180260909</v>
      </c>
      <c r="C6" s="44">
        <v>1538783486</v>
      </c>
      <c r="D6" s="44">
        <v>1350721298</v>
      </c>
      <c r="E6" s="44">
        <v>1150992397</v>
      </c>
      <c r="F6" s="44">
        <v>1474366072</v>
      </c>
      <c r="G6" s="44">
        <v>1481567161</v>
      </c>
      <c r="H6" s="49">
        <v>1467671276</v>
      </c>
      <c r="I6" s="49">
        <v>1274308845</v>
      </c>
      <c r="J6" s="49">
        <v>1184740033</v>
      </c>
      <c r="K6" s="49">
        <v>1020584621</v>
      </c>
    </row>
    <row r="7" spans="1:11">
      <c r="A7" s="6" t="s">
        <v>75</v>
      </c>
      <c r="B7" s="44">
        <v>2888289768</v>
      </c>
      <c r="C7" s="44">
        <v>2486049334</v>
      </c>
      <c r="D7" s="44">
        <v>2142932036</v>
      </c>
      <c r="E7" s="44">
        <v>1944179027</v>
      </c>
      <c r="F7" s="44">
        <v>2076624937</v>
      </c>
      <c r="G7" s="44">
        <v>2185363063</v>
      </c>
      <c r="H7" s="49">
        <v>2063072209</v>
      </c>
      <c r="I7" s="49">
        <v>1797379424</v>
      </c>
      <c r="J7" s="49">
        <v>2392097806</v>
      </c>
      <c r="K7" s="49">
        <v>1873364984</v>
      </c>
    </row>
    <row r="8" spans="1:11">
      <c r="A8" s="6" t="s">
        <v>76</v>
      </c>
      <c r="B8" s="44">
        <v>1677751298</v>
      </c>
      <c r="C8" s="44">
        <v>1403030121</v>
      </c>
      <c r="D8" s="44">
        <v>1248592812</v>
      </c>
      <c r="E8" s="44">
        <v>997203019</v>
      </c>
      <c r="F8" s="44">
        <v>815579258</v>
      </c>
      <c r="G8" s="44">
        <v>813129835</v>
      </c>
      <c r="H8" s="49">
        <v>887721987</v>
      </c>
      <c r="I8" s="49">
        <v>803441192</v>
      </c>
    </row>
    <row r="9" spans="1:11">
      <c r="A9" s="6"/>
      <c r="B9" s="44"/>
      <c r="C9" s="44"/>
    </row>
    <row r="10" spans="1:11">
      <c r="A10" s="6" t="s">
        <v>77</v>
      </c>
      <c r="B10" s="44">
        <v>400415185</v>
      </c>
      <c r="C10" s="44">
        <v>262917177</v>
      </c>
      <c r="D10" s="44">
        <v>215071387</v>
      </c>
      <c r="E10" s="44">
        <v>242337506</v>
      </c>
      <c r="F10" s="44">
        <v>352820556</v>
      </c>
      <c r="G10" s="44">
        <v>181754102</v>
      </c>
      <c r="H10" s="49">
        <v>146750220</v>
      </c>
      <c r="I10" s="49">
        <v>190690589</v>
      </c>
    </row>
    <row r="11" spans="1:11">
      <c r="A11" s="6" t="s">
        <v>78</v>
      </c>
      <c r="B11" s="44">
        <v>-3562889</v>
      </c>
      <c r="C11" s="44">
        <v>-17109861</v>
      </c>
      <c r="D11" s="44">
        <v>-4092781</v>
      </c>
      <c r="E11" s="44">
        <v>-5436372</v>
      </c>
      <c r="F11" s="44">
        <v>-5986645</v>
      </c>
      <c r="G11" s="44">
        <v>-20511657</v>
      </c>
      <c r="H11" s="49">
        <v>-28131575</v>
      </c>
    </row>
    <row r="12" spans="1:11">
      <c r="A12" s="6" t="s">
        <v>79</v>
      </c>
      <c r="B12" s="51">
        <f>-108088278</f>
        <v>-108088278</v>
      </c>
      <c r="C12" s="51">
        <v>-205314035</v>
      </c>
      <c r="D12" s="44">
        <v>-140304975</v>
      </c>
      <c r="E12" s="44">
        <v>-18976018</v>
      </c>
      <c r="F12" s="44">
        <v>-30973964</v>
      </c>
      <c r="G12" s="44">
        <v>-3939955</v>
      </c>
      <c r="H12" s="49">
        <v>-22335530</v>
      </c>
      <c r="I12" s="49">
        <v>-5110700</v>
      </c>
      <c r="J12" s="44">
        <v>-11224597</v>
      </c>
      <c r="K12" s="44">
        <v>-11540935</v>
      </c>
    </row>
    <row r="13" spans="1:11">
      <c r="A13" s="6" t="s">
        <v>80</v>
      </c>
      <c r="B13" s="44">
        <v>13102488</v>
      </c>
      <c r="C13" s="44">
        <v>1647225</v>
      </c>
      <c r="D13" s="44">
        <v>-6083766</v>
      </c>
      <c r="E13" s="44">
        <v>484341</v>
      </c>
      <c r="F13" s="44">
        <v>75117728</v>
      </c>
      <c r="G13" s="44">
        <v>4347754</v>
      </c>
      <c r="H13" s="49">
        <v>-1279203</v>
      </c>
      <c r="I13" s="49">
        <v>-26217990</v>
      </c>
    </row>
    <row r="14" spans="1:11">
      <c r="A14" s="6"/>
      <c r="B14" s="44"/>
      <c r="C14" s="44"/>
    </row>
    <row r="15" spans="1:11">
      <c r="A15" s="6" t="s">
        <v>81</v>
      </c>
      <c r="B15" s="44">
        <v>35905331</v>
      </c>
      <c r="C15" s="44">
        <v>49843149</v>
      </c>
      <c r="D15" s="44">
        <v>80855034</v>
      </c>
      <c r="E15" s="44">
        <v>217974835</v>
      </c>
      <c r="F15" s="44">
        <v>57628048</v>
      </c>
      <c r="G15" s="44">
        <v>109494454</v>
      </c>
      <c r="H15" s="49">
        <v>60687441</v>
      </c>
      <c r="I15" s="49">
        <v>27172108</v>
      </c>
      <c r="J15" s="49">
        <v>115204091</v>
      </c>
      <c r="K15" s="49">
        <v>129935252</v>
      </c>
    </row>
    <row r="16" spans="1:11">
      <c r="A16" s="6" t="s">
        <v>82</v>
      </c>
      <c r="B16" s="44">
        <v>120136061</v>
      </c>
      <c r="C16" s="44">
        <v>125106357</v>
      </c>
      <c r="D16" s="44">
        <v>163122132</v>
      </c>
      <c r="E16" s="44">
        <v>161162665</v>
      </c>
      <c r="F16" s="44">
        <v>214664627</v>
      </c>
      <c r="G16" s="44">
        <v>294294341</v>
      </c>
      <c r="H16" s="49">
        <v>71545321</v>
      </c>
      <c r="I16" s="49">
        <v>17376997</v>
      </c>
      <c r="J16" s="49">
        <v>35438675</v>
      </c>
      <c r="K16" s="49">
        <v>138450464</v>
      </c>
    </row>
    <row r="17" spans="1:11">
      <c r="A17" s="52"/>
    </row>
    <row r="18" s="13" customFormat="1" spans="1:11">
      <c r="A18" s="10" t="s">
        <v>83</v>
      </c>
      <c r="B18" s="53">
        <f>B2-B3-SUM(B5:B8)+SUM(B10:B13)+B15-B16</f>
        <v>8406126579</v>
      </c>
      <c r="C18" s="53">
        <f>C2-C3-SUM(C5:C8)+SUM(C10:C13)+C15-C16</f>
        <v>6035788237</v>
      </c>
      <c r="D18" s="53">
        <f t="shared" ref="D18:K18" si="1">D2-D3-SUM(D5:D8)+SUM(D10:D13)+D15-D16</f>
        <v>4578044177</v>
      </c>
      <c r="E18" s="53">
        <f t="shared" si="1"/>
        <v>4452228167</v>
      </c>
      <c r="F18" s="53">
        <f t="shared" si="1"/>
        <v>3533563914</v>
      </c>
      <c r="G18" s="53">
        <f t="shared" si="1"/>
        <v>3205296681</v>
      </c>
      <c r="H18" s="53">
        <f t="shared" si="1"/>
        <v>4084539111</v>
      </c>
      <c r="I18" s="53">
        <f t="shared" si="1"/>
        <v>4094187090</v>
      </c>
      <c r="J18" s="53">
        <f t="shared" si="1"/>
        <v>3475460248</v>
      </c>
      <c r="K18" s="53">
        <f t="shared" si="1"/>
        <v>2732692211</v>
      </c>
    </row>
    <row r="19" spans="1:11">
      <c r="B19" s="54"/>
      <c r="C19" s="54"/>
    </row>
    <row r="20" s="13" customFormat="1" spans="1:11">
      <c r="A20" s="13" t="s">
        <v>84</v>
      </c>
      <c r="B20" s="53">
        <f>SUM(B21:B23)</f>
        <v>924966003</v>
      </c>
      <c r="C20" s="53">
        <f>SUM(C21:C23)</f>
        <v>602544066</v>
      </c>
      <c r="D20" s="53">
        <f t="shared" ref="D20:E20" si="2">SUM(D21:D23)</f>
        <v>231495735</v>
      </c>
      <c r="E20" s="53">
        <f t="shared" si="2"/>
        <v>195413923</v>
      </c>
      <c r="F20" s="53">
        <f t="shared" ref="F20" si="3">SUM(F21:F23)</f>
        <v>348762592</v>
      </c>
      <c r="G20" s="53">
        <f t="shared" ref="G20:K20" si="4">SUM(G21:G23)</f>
        <v>336984661</v>
      </c>
      <c r="H20" s="53">
        <f t="shared" si="4"/>
        <v>335452093</v>
      </c>
      <c r="I20" s="53">
        <f t="shared" si="4"/>
        <v>137540567</v>
      </c>
      <c r="J20" s="53">
        <f t="shared" si="4"/>
        <v>109354187</v>
      </c>
      <c r="K20" s="53">
        <f t="shared" si="4"/>
        <v>16915996</v>
      </c>
    </row>
    <row r="21" spans="1:11">
      <c r="A21" s="6" t="s">
        <v>85</v>
      </c>
      <c r="B21" s="55">
        <f>-11293376+-44874617</f>
        <v>-56167993</v>
      </c>
      <c r="C21" s="54">
        <v>-9802782</v>
      </c>
      <c r="D21">
        <f>-16364000+-12840733</f>
        <v>-29204733</v>
      </c>
      <c r="E21">
        <f>5235616+45414980+-14677491</f>
        <v>35973105</v>
      </c>
      <c r="F21" s="3">
        <f>68910527+-9922937+165722</f>
        <v>59153312</v>
      </c>
      <c r="G21" s="3">
        <f>98833082-10431971-90255</f>
        <v>88310856</v>
      </c>
      <c r="H21">
        <f>35253973+270490</f>
        <v>35524463</v>
      </c>
    </row>
    <row r="22" spans="1:11">
      <c r="A22" s="6" t="s">
        <v>86</v>
      </c>
      <c r="B22" s="54">
        <v>979192040</v>
      </c>
      <c r="C22" s="54">
        <v>614002388</v>
      </c>
      <c r="D22" s="44">
        <v>262733645</v>
      </c>
      <c r="E22" s="44">
        <v>168837719</v>
      </c>
      <c r="F22" s="3">
        <v>290289764</v>
      </c>
      <c r="G22" s="3">
        <v>284421399</v>
      </c>
      <c r="H22" s="49">
        <v>236034167</v>
      </c>
      <c r="I22" s="49">
        <v>156658899</v>
      </c>
      <c r="J22" s="43">
        <v>106577485</v>
      </c>
      <c r="K22" s="43">
        <v>19724867</v>
      </c>
    </row>
    <row r="23" spans="1:11">
      <c r="A23" s="6" t="s">
        <v>87</v>
      </c>
      <c r="B23" s="54">
        <v>1941956</v>
      </c>
      <c r="C23" s="54">
        <f>-1655540</f>
        <v>-1655540</v>
      </c>
      <c r="D23" s="44">
        <v>-2033177</v>
      </c>
      <c r="E23" s="44">
        <v>-9396901</v>
      </c>
      <c r="F23" s="44">
        <v>-680484</v>
      </c>
      <c r="G23" s="44">
        <v>-35747594</v>
      </c>
      <c r="H23" s="49">
        <v>63893463</v>
      </c>
      <c r="I23" s="49">
        <v>-19118332</v>
      </c>
      <c r="J23" s="49">
        <v>2776702</v>
      </c>
      <c r="K23" s="49">
        <v>-2808871</v>
      </c>
    </row>
    <row r="24" spans="1:11">
      <c r="B24" s="54"/>
      <c r="C24" s="54"/>
    </row>
    <row r="25" s="13" customFormat="1" spans="1:11">
      <c r="A25" s="13" t="s">
        <v>88</v>
      </c>
      <c r="B25" s="53">
        <f>SUM(B26:B28)</f>
        <v>-15801862</v>
      </c>
      <c r="C25" s="53">
        <f>SUM(C26:C28)</f>
        <v>4290148</v>
      </c>
      <c r="D25" s="53">
        <f t="shared" ref="D25:E25" si="5">SUM(D26:D28)</f>
        <v>20962737</v>
      </c>
      <c r="E25" s="53">
        <f t="shared" si="5"/>
        <v>26975045</v>
      </c>
      <c r="F25" s="53">
        <f t="shared" ref="F25" si="6">SUM(F26:F28)</f>
        <v>11843754</v>
      </c>
      <c r="G25" s="53">
        <f t="shared" ref="G25:K25" si="7">SUM(G26:G28)</f>
        <v>-5932899</v>
      </c>
      <c r="H25" s="53">
        <f t="shared" si="7"/>
        <v>667776495</v>
      </c>
      <c r="I25" s="53">
        <f t="shared" si="7"/>
        <v>23390958</v>
      </c>
      <c r="J25" s="53">
        <f t="shared" si="7"/>
        <v>41956332</v>
      </c>
      <c r="K25" s="53">
        <f t="shared" si="7"/>
        <v>23781843</v>
      </c>
    </row>
    <row r="26" spans="1:11">
      <c r="A26" s="6" t="s">
        <v>89</v>
      </c>
      <c r="B26" s="54">
        <f>-15801862</f>
        <v>-15801862</v>
      </c>
      <c r="C26" s="54">
        <f>10797721+-6507573</f>
        <v>4290148</v>
      </c>
      <c r="D26" s="44">
        <v>20962737</v>
      </c>
      <c r="E26" s="44">
        <v>26975045</v>
      </c>
      <c r="F26" s="44">
        <v>11843754</v>
      </c>
      <c r="G26" s="3">
        <v>-5932899</v>
      </c>
      <c r="H26" s="3">
        <f>3743957+664032538</f>
        <v>667776495</v>
      </c>
      <c r="I26" s="3">
        <f>-6016466+29407424</f>
        <v>23390958</v>
      </c>
      <c r="J26" s="43">
        <v>41956332</v>
      </c>
      <c r="K26" s="43">
        <v>23781843</v>
      </c>
    </row>
    <row r="27" spans="1:11">
      <c r="A27" s="6" t="s">
        <v>19</v>
      </c>
      <c r="B27" s="54"/>
      <c r="C27" s="54"/>
    </row>
    <row r="28" spans="1:11">
      <c r="A28" s="6" t="s">
        <v>87</v>
      </c>
      <c r="B28" s="54"/>
      <c r="C28" s="54"/>
      <c r="H28" s="49"/>
      <c r="I28" s="49"/>
    </row>
    <row r="29" spans="1:11">
      <c r="B29" s="54"/>
      <c r="C29" s="54"/>
    </row>
    <row r="30" s="13" customFormat="1" spans="1:11">
      <c r="A30" s="10" t="s">
        <v>90</v>
      </c>
      <c r="B30" s="53">
        <f>B18+B20+B25</f>
        <v>9315290720</v>
      </c>
      <c r="C30" s="53">
        <f>C18+C20+C25</f>
        <v>6642622451</v>
      </c>
      <c r="D30" s="53">
        <f t="shared" ref="D30:K30" si="8">D18+D20+D25</f>
        <v>4830502649</v>
      </c>
      <c r="E30" s="53">
        <f t="shared" si="8"/>
        <v>4674617135</v>
      </c>
      <c r="F30" s="53">
        <f t="shared" si="8"/>
        <v>3894170260</v>
      </c>
      <c r="G30" s="53">
        <f t="shared" si="8"/>
        <v>3536348443</v>
      </c>
      <c r="H30" s="53">
        <f t="shared" si="8"/>
        <v>5087767699</v>
      </c>
      <c r="I30" s="53">
        <f t="shared" si="8"/>
        <v>4255118615</v>
      </c>
      <c r="J30" s="53">
        <f t="shared" si="8"/>
        <v>3626770767</v>
      </c>
      <c r="K30" s="53">
        <f t="shared" si="8"/>
        <v>2773390050</v>
      </c>
    </row>
    <row r="31" s="13" customFormat="1" spans="1:11">
      <c r="A31" s="6" t="s">
        <v>91</v>
      </c>
      <c r="B31" s="56">
        <v>288507082</v>
      </c>
      <c r="C31" s="56">
        <v>288319603</v>
      </c>
      <c r="D31" s="56">
        <f>284355835+14674435+-10908011</f>
        <v>288122259</v>
      </c>
      <c r="E31" s="56">
        <f>312535638+12662034-6256881</f>
        <v>318940791</v>
      </c>
      <c r="F31" s="56">
        <f>353836981+13932104-13016682</f>
        <v>354752403</v>
      </c>
      <c r="G31" s="56">
        <f>447223558+13912513-28456551</f>
        <v>432679520</v>
      </c>
      <c r="H31" s="56">
        <f>376230473</f>
        <v>376230473</v>
      </c>
      <c r="I31" s="56">
        <f>182373020</f>
        <v>182373020</v>
      </c>
      <c r="J31" s="56">
        <f>157713120</f>
        <v>157713120</v>
      </c>
      <c r="K31" s="56">
        <f>190512029</f>
        <v>190512029</v>
      </c>
    </row>
    <row r="32" spans="1:11">
      <c r="A32" s="6" t="s">
        <v>92</v>
      </c>
      <c r="B32" s="55">
        <f>24284937+11679111</f>
        <v>35964048</v>
      </c>
      <c r="C32" s="55">
        <f>-368696286+6977220</f>
        <v>-361719066</v>
      </c>
      <c r="D32" s="3">
        <f>-1045237867+8512570</f>
        <v>-1036725297</v>
      </c>
      <c r="E32" s="3">
        <f>528006272+8827978</f>
        <v>536834250</v>
      </c>
      <c r="F32" s="3">
        <f>422467723+7355091</f>
        <v>429822814</v>
      </c>
      <c r="G32" s="3">
        <f>-135763953+8294824</f>
        <v>-127469129</v>
      </c>
      <c r="H32" s="3">
        <f>+-258516410+7693358</f>
        <v>-250823052</v>
      </c>
      <c r="I32" s="3">
        <f>387506549+5517279</f>
        <v>393023828</v>
      </c>
      <c r="J32">
        <f>+-458716176+8148119</f>
        <v>-450568057</v>
      </c>
      <c r="K32">
        <f>+-466734319+6887612</f>
        <v>-459846707</v>
      </c>
    </row>
    <row r="33" spans="1:11">
      <c r="A33" s="6" t="s">
        <v>93</v>
      </c>
      <c r="B33" s="54">
        <v>1486781220</v>
      </c>
      <c r="C33" s="54">
        <v>1086913641</v>
      </c>
      <c r="D33" s="44">
        <v>826310042</v>
      </c>
      <c r="E33" s="44">
        <v>675861301</v>
      </c>
      <c r="F33" s="44">
        <v>511144107</v>
      </c>
      <c r="G33" s="44">
        <v>332955880</v>
      </c>
      <c r="H33" s="49">
        <v>855187629</v>
      </c>
      <c r="I33" s="49">
        <v>531479253</v>
      </c>
      <c r="J33" s="49">
        <v>776909142</v>
      </c>
      <c r="K33" s="49">
        <v>435226131</v>
      </c>
    </row>
    <row r="34" spans="1:11">
      <c r="B34" s="54"/>
      <c r="C34" s="54"/>
    </row>
    <row r="35" spans="1:11">
      <c r="A35" s="13" t="s">
        <v>94</v>
      </c>
      <c r="B35" s="53">
        <f>B30-B32-B33-B31</f>
        <v>7504038370</v>
      </c>
      <c r="C35" s="53">
        <f t="shared" ref="C35:K35" si="9">C30-C32-C33-C31</f>
        <v>5629108273</v>
      </c>
      <c r="D35" s="53">
        <f t="shared" si="9"/>
        <v>4752795645</v>
      </c>
      <c r="E35" s="53">
        <f t="shared" si="9"/>
        <v>3142980793</v>
      </c>
      <c r="F35" s="53">
        <f t="shared" si="9"/>
        <v>2598450936</v>
      </c>
      <c r="G35" s="53">
        <f t="shared" si="9"/>
        <v>2898182172</v>
      </c>
      <c r="H35" s="53">
        <f t="shared" si="9"/>
        <v>4107172649</v>
      </c>
      <c r="I35" s="53">
        <f t="shared" si="9"/>
        <v>3148242514</v>
      </c>
      <c r="J35" s="53">
        <f t="shared" si="9"/>
        <v>3142716562</v>
      </c>
      <c r="K35" s="53">
        <f t="shared" si="9"/>
        <v>2607498597</v>
      </c>
    </row>
    <row r="36" spans="1:11">
      <c r="A36" s="6" t="s">
        <v>95</v>
      </c>
      <c r="B36" s="44">
        <v>108088278</v>
      </c>
      <c r="C36" s="44">
        <v>205314035</v>
      </c>
      <c r="D36" s="44">
        <v>140304975</v>
      </c>
      <c r="E36" s="44">
        <v>18976018</v>
      </c>
      <c r="F36" s="44">
        <v>30973964</v>
      </c>
      <c r="G36" s="44">
        <v>3939955</v>
      </c>
      <c r="H36" s="43">
        <v>50467105</v>
      </c>
      <c r="I36" s="43">
        <v>5124005</v>
      </c>
      <c r="J36" s="43">
        <v>11224597</v>
      </c>
      <c r="K36" s="43">
        <v>11540935</v>
      </c>
    </row>
    <row r="37" spans="1:11">
      <c r="A37" s="6" t="s">
        <v>96</v>
      </c>
      <c r="B37" s="44">
        <v>3562889</v>
      </c>
      <c r="C37" s="44">
        <v>17109861</v>
      </c>
      <c r="D37" s="44">
        <v>4092781</v>
      </c>
      <c r="E37" s="44">
        <v>5436372</v>
      </c>
      <c r="F37" s="44">
        <v>5986645</v>
      </c>
      <c r="G37" s="44">
        <v>20511657</v>
      </c>
    </row>
    <row r="38" spans="1:11">
      <c r="A38" s="6" t="s">
        <v>97</v>
      </c>
      <c r="B38" s="44">
        <v>2133735188</v>
      </c>
      <c r="C38" s="44">
        <v>2006016143</v>
      </c>
      <c r="D38" s="44">
        <v>1895051137</v>
      </c>
      <c r="E38" s="44">
        <v>1816292295</v>
      </c>
      <c r="F38" s="44">
        <v>1796451028</v>
      </c>
      <c r="G38" s="44">
        <v>1658464142</v>
      </c>
      <c r="H38" s="43">
        <v>1397193868</v>
      </c>
      <c r="I38" s="43">
        <v>1170550643</v>
      </c>
      <c r="J38" s="43">
        <v>1064314933</v>
      </c>
      <c r="K38" s="43">
        <v>876235955</v>
      </c>
    </row>
    <row r="39" spans="1:11">
      <c r="A39" s="6" t="s">
        <v>98</v>
      </c>
      <c r="B39" s="44">
        <v>168226551</v>
      </c>
      <c r="C39" s="44">
        <v>141396351</v>
      </c>
      <c r="D39" s="44">
        <v>122698462</v>
      </c>
      <c r="E39" s="44">
        <v>123037830</v>
      </c>
      <c r="F39" s="44">
        <v>118490311</v>
      </c>
      <c r="G39" s="44">
        <v>107566459</v>
      </c>
    </row>
    <row r="40" spans="1:11">
      <c r="A40" s="6" t="s">
        <v>99</v>
      </c>
      <c r="B40" s="44">
        <v>90344881</v>
      </c>
      <c r="C40" s="44">
        <v>75882503</v>
      </c>
      <c r="D40" s="44">
        <v>68021416</v>
      </c>
      <c r="E40" s="44">
        <v>70365542</v>
      </c>
      <c r="F40" s="44">
        <v>72520085</v>
      </c>
      <c r="G40" s="44">
        <v>75727709</v>
      </c>
      <c r="H40" s="43">
        <v>50146297</v>
      </c>
      <c r="I40" s="43">
        <v>44348345</v>
      </c>
      <c r="J40" s="43">
        <v>42668547</v>
      </c>
      <c r="K40" s="43">
        <v>36109422</v>
      </c>
    </row>
    <row r="41" spans="1:11">
      <c r="A41" s="6" t="s">
        <v>100</v>
      </c>
      <c r="B41" s="44">
        <v>335192027</v>
      </c>
      <c r="C41" s="44">
        <v>299148362</v>
      </c>
      <c r="D41" s="44">
        <v>259296442</v>
      </c>
      <c r="E41" s="44">
        <v>241956999</v>
      </c>
      <c r="F41" s="44">
        <v>254543544</v>
      </c>
      <c r="G41" s="44">
        <v>288399999</v>
      </c>
      <c r="H41" s="43">
        <v>239827437</v>
      </c>
      <c r="I41" s="43">
        <v>183493510</v>
      </c>
      <c r="J41" s="43">
        <v>147684382</v>
      </c>
      <c r="K41" s="43">
        <v>119555034</v>
      </c>
    </row>
    <row r="42" spans="1:11">
      <c r="A42" s="6" t="s">
        <v>101</v>
      </c>
      <c r="B42" s="44">
        <v>92206108</v>
      </c>
      <c r="C42" s="44">
        <v>100067948</v>
      </c>
      <c r="D42" s="44">
        <v>127946902</v>
      </c>
      <c r="E42" s="44">
        <v>103003542</v>
      </c>
      <c r="F42" s="44">
        <v>67154040</v>
      </c>
      <c r="G42" s="44">
        <v>9278127</v>
      </c>
      <c r="H42" s="43">
        <v>63298310</v>
      </c>
      <c r="I42" s="43">
        <v>26217990</v>
      </c>
      <c r="J42" s="43">
        <v>17315990</v>
      </c>
      <c r="K42" s="43">
        <v>65685144</v>
      </c>
    </row>
    <row r="43" spans="1:11">
      <c r="A43" s="6" t="s">
        <v>102</v>
      </c>
      <c r="B43" s="44"/>
      <c r="C43" s="44"/>
      <c r="F43" s="44"/>
      <c r="G43" s="44"/>
    </row>
    <row r="44" spans="1:11">
      <c r="A44" s="6" t="s">
        <v>103</v>
      </c>
      <c r="B44" s="44">
        <v>-1941956</v>
      </c>
      <c r="C44" s="44">
        <v>1655540</v>
      </c>
      <c r="D44" s="44">
        <v>2033177</v>
      </c>
      <c r="E44" s="44">
        <v>9396901</v>
      </c>
      <c r="F44" s="44">
        <v>680484</v>
      </c>
      <c r="G44" s="44">
        <v>35747594</v>
      </c>
      <c r="H44" s="43">
        <v>-63893463</v>
      </c>
      <c r="I44" s="43">
        <v>19118332</v>
      </c>
      <c r="J44" s="43">
        <v>-2776702</v>
      </c>
      <c r="K44" s="43">
        <v>2808871</v>
      </c>
    </row>
    <row r="45" spans="1:11">
      <c r="A45" s="6" t="s">
        <v>104</v>
      </c>
      <c r="B45" s="44">
        <v>-127999869</v>
      </c>
      <c r="C45" s="44">
        <v>-156817467</v>
      </c>
      <c r="D45" s="44">
        <v>-623268615</v>
      </c>
      <c r="E45" s="44">
        <v>567719920</v>
      </c>
      <c r="F45" s="44">
        <v>731090764</v>
      </c>
      <c r="G45" s="44">
        <v>323747885</v>
      </c>
      <c r="H45" s="43">
        <v>122942899</v>
      </c>
      <c r="I45" s="43">
        <v>496898960</v>
      </c>
      <c r="J45" s="43">
        <v>-249338912</v>
      </c>
      <c r="K45" s="43">
        <v>-109367084</v>
      </c>
    </row>
    <row r="46" spans="1:11">
      <c r="A46" s="6" t="s">
        <v>105</v>
      </c>
      <c r="B46" s="44">
        <v>60676479</v>
      </c>
      <c r="C46" s="44">
        <v>863478</v>
      </c>
      <c r="D46" s="44">
        <v>-4598737</v>
      </c>
      <c r="E46" s="44">
        <v>-77625641</v>
      </c>
      <c r="F46" s="44">
        <v>-80920003</v>
      </c>
      <c r="G46" s="44">
        <v>-92809928</v>
      </c>
      <c r="H46" s="43">
        <v>-703300958</v>
      </c>
      <c r="I46" s="43">
        <v>-23390958</v>
      </c>
      <c r="J46" s="43">
        <v>-41956332</v>
      </c>
      <c r="K46" s="43">
        <v>-23781843</v>
      </c>
    </row>
    <row r="47" spans="1:11">
      <c r="A47" s="6" t="s">
        <v>106</v>
      </c>
      <c r="B47" s="44">
        <v>45971725</v>
      </c>
      <c r="C47" s="44">
        <v>-15067352</v>
      </c>
      <c r="D47" s="44">
        <v>26958581</v>
      </c>
      <c r="E47" s="44">
        <v>87681484</v>
      </c>
      <c r="F47" s="44">
        <v>-2105378</v>
      </c>
      <c r="G47" s="44">
        <v>-266043908</v>
      </c>
      <c r="H47" s="43">
        <v>64287659</v>
      </c>
      <c r="I47" s="43">
        <v>-87191702</v>
      </c>
      <c r="J47" s="43">
        <v>11244776</v>
      </c>
      <c r="K47" s="43">
        <v>-14837203</v>
      </c>
    </row>
    <row r="48" spans="1:11">
      <c r="A48" s="6" t="s">
        <v>107</v>
      </c>
      <c r="B48" s="44">
        <v>295219393</v>
      </c>
      <c r="C48" s="44">
        <v>208950519</v>
      </c>
      <c r="D48" s="44">
        <v>17761104</v>
      </c>
      <c r="E48" s="44">
        <v>-16185157</v>
      </c>
      <c r="F48" s="44">
        <v>34605040</v>
      </c>
      <c r="G48" s="44">
        <v>1330941</v>
      </c>
      <c r="H48" s="43">
        <v>66551272</v>
      </c>
      <c r="I48" s="43">
        <v>-4617332</v>
      </c>
      <c r="J48" s="43">
        <v>-12175808</v>
      </c>
      <c r="K48" s="43">
        <v>18828115</v>
      </c>
    </row>
    <row r="49" spans="1:11">
      <c r="A49" s="6" t="s">
        <v>108</v>
      </c>
      <c r="B49" s="44">
        <v>-915925306</v>
      </c>
      <c r="C49" s="44">
        <v>230609935</v>
      </c>
      <c r="D49" s="44">
        <v>-1107600709</v>
      </c>
      <c r="E49" s="44">
        <v>-1065034904</v>
      </c>
      <c r="F49" s="44">
        <v>-31498260</v>
      </c>
      <c r="G49" s="44">
        <v>-42665281</v>
      </c>
      <c r="H49" s="43">
        <v>-237853502</v>
      </c>
      <c r="I49" s="43">
        <v>-187602869</v>
      </c>
      <c r="J49" s="43">
        <v>-290003664</v>
      </c>
      <c r="K49" s="43">
        <v>-302464655</v>
      </c>
    </row>
    <row r="50" spans="1:11">
      <c r="A50" s="6" t="s">
        <v>109</v>
      </c>
      <c r="B50" s="44">
        <v>-2556960709</v>
      </c>
      <c r="C50" s="44">
        <v>-2780290232</v>
      </c>
      <c r="D50" s="44">
        <v>-1158638442</v>
      </c>
      <c r="E50" s="44">
        <v>-261733125</v>
      </c>
      <c r="F50" s="44">
        <v>-724250478</v>
      </c>
      <c r="G50" s="44">
        <v>6752325</v>
      </c>
      <c r="H50" s="43">
        <v>412571832</v>
      </c>
      <c r="I50" s="43">
        <v>-149949345</v>
      </c>
      <c r="J50" s="43">
        <v>-1142132470</v>
      </c>
      <c r="K50" s="43">
        <v>-222012488</v>
      </c>
    </row>
    <row r="51" spans="1:11">
      <c r="A51" s="6" t="s">
        <v>110</v>
      </c>
      <c r="B51" s="44">
        <v>1423578216</v>
      </c>
      <c r="C51" s="44">
        <v>1751550813</v>
      </c>
      <c r="D51" s="44">
        <v>1454725820</v>
      </c>
      <c r="E51" s="44">
        <v>986313659</v>
      </c>
      <c r="F51" s="44">
        <v>478607327</v>
      </c>
      <c r="G51" s="44">
        <v>151297996</v>
      </c>
      <c r="H51" s="43">
        <v>269195361</v>
      </c>
      <c r="I51" s="43">
        <v>306814239</v>
      </c>
      <c r="J51" s="43">
        <v>959561040</v>
      </c>
      <c r="K51" s="43">
        <v>-36919595</v>
      </c>
    </row>
    <row r="52" spans="1:11">
      <c r="A52" s="6" t="s">
        <v>111</v>
      </c>
      <c r="B52" s="44">
        <v>-95824936</v>
      </c>
      <c r="C52" s="44">
        <v>-90917820</v>
      </c>
      <c r="D52" s="44">
        <v>-84538284</v>
      </c>
      <c r="E52" s="44">
        <v>-75572887</v>
      </c>
      <c r="F52" s="44">
        <v>-73017910</v>
      </c>
      <c r="G52" s="44">
        <v>-52513013</v>
      </c>
      <c r="H52" s="43">
        <v>-30745463</v>
      </c>
      <c r="I52" s="43">
        <v>-23894571</v>
      </c>
      <c r="J52" s="43">
        <v>-21372079</v>
      </c>
      <c r="K52" s="43">
        <v>-14406179</v>
      </c>
    </row>
    <row r="53" spans="1:11">
      <c r="A53" s="6" t="s">
        <v>112</v>
      </c>
      <c r="B53" s="44"/>
      <c r="C53" s="44"/>
      <c r="G53" s="43"/>
    </row>
    <row r="54" spans="1:11">
      <c r="A54" s="13" t="s">
        <v>113</v>
      </c>
      <c r="B54" s="57">
        <f>B35+SUM(B36:B53)</f>
        <v>8562187329</v>
      </c>
      <c r="C54" s="57">
        <f>C35+SUM(C36:C53)</f>
        <v>7624580890</v>
      </c>
      <c r="D54" s="57">
        <f t="shared" ref="D54:K54" si="10">D35+SUM(D36:D53)</f>
        <v>5893041655</v>
      </c>
      <c r="E54" s="57">
        <f t="shared" si="10"/>
        <v>5677009641</v>
      </c>
      <c r="F54" s="57">
        <f t="shared" si="10"/>
        <v>5277762139</v>
      </c>
      <c r="G54" s="57">
        <f t="shared" si="10"/>
        <v>5126914831</v>
      </c>
      <c r="H54" s="57">
        <f t="shared" si="10"/>
        <v>5807861303</v>
      </c>
      <c r="I54" s="57">
        <f t="shared" si="10"/>
        <v>4924161761</v>
      </c>
      <c r="J54" s="57">
        <f t="shared" si="10"/>
        <v>3636974860</v>
      </c>
      <c r="K54" s="57">
        <f t="shared" si="10"/>
        <v>3014473026</v>
      </c>
    </row>
    <row r="55" spans="1:11">
      <c r="A55" s="6" t="s">
        <v>114</v>
      </c>
      <c r="B55" s="8">
        <v>37770735435</v>
      </c>
      <c r="C55" s="8">
        <v>31482964361</v>
      </c>
      <c r="D55" s="44">
        <v>29140807061</v>
      </c>
      <c r="E55" s="44">
        <v>24732625116</v>
      </c>
      <c r="F55" s="44">
        <v>20384558374</v>
      </c>
      <c r="G55" s="44">
        <v>22628355978</v>
      </c>
      <c r="H55" s="49">
        <v>22728927626</v>
      </c>
      <c r="I55" s="49">
        <v>20482066535</v>
      </c>
      <c r="J55" s="49">
        <v>17281659057</v>
      </c>
      <c r="K55" s="49">
        <v>14742618341</v>
      </c>
    </row>
    <row r="56" spans="1:11">
      <c r="A56" s="6" t="s">
        <v>115</v>
      </c>
      <c r="B56" s="8">
        <v>405196979</v>
      </c>
      <c r="C56" s="8">
        <v>327691192</v>
      </c>
      <c r="D56" s="44">
        <v>269276069</v>
      </c>
      <c r="E56" s="44">
        <v>303234772</v>
      </c>
      <c r="F56" s="44">
        <v>193527136</v>
      </c>
      <c r="G56" s="44">
        <v>240853074</v>
      </c>
      <c r="H56" s="49">
        <v>281901831</v>
      </c>
      <c r="I56" s="49">
        <v>274447357</v>
      </c>
      <c r="J56" s="49">
        <v>187711757</v>
      </c>
      <c r="K56" s="49">
        <v>193685258</v>
      </c>
    </row>
    <row r="57" spans="1:11">
      <c r="A57" s="6" t="s">
        <v>116</v>
      </c>
      <c r="B57" s="8">
        <v>1002006631</v>
      </c>
      <c r="C57" s="8">
        <v>753288481</v>
      </c>
      <c r="D57" s="44">
        <v>551237577</v>
      </c>
      <c r="E57" s="44">
        <v>588060384</v>
      </c>
      <c r="F57" s="44">
        <v>784161138</v>
      </c>
      <c r="G57" s="44">
        <v>674341156</v>
      </c>
      <c r="H57" s="49">
        <v>537292015</v>
      </c>
      <c r="I57" s="49">
        <v>467910670</v>
      </c>
      <c r="J57" s="49">
        <v>190245311</v>
      </c>
      <c r="K57" s="49">
        <v>112290050</v>
      </c>
    </row>
    <row r="58" s="13" customFormat="1" spans="1:11">
      <c r="A58" s="10" t="s">
        <v>117</v>
      </c>
      <c r="B58" s="57">
        <f>SUM(B55:B57)</f>
        <v>39177939045</v>
      </c>
      <c r="C58" s="57">
        <f>SUM(C55:C57)</f>
        <v>32563944034</v>
      </c>
      <c r="D58" s="57">
        <f t="shared" ref="D58:E58" si="11">SUM(D55:D57)</f>
        <v>29961320707</v>
      </c>
      <c r="E58" s="57">
        <f t="shared" si="11"/>
        <v>25623920272</v>
      </c>
      <c r="F58" s="57">
        <f t="shared" ref="F58" si="12">SUM(F55:F57)</f>
        <v>21362246648</v>
      </c>
      <c r="G58" s="57">
        <f t="shared" ref="G58:K58" si="13">SUM(G55:G57)</f>
        <v>23543550208</v>
      </c>
      <c r="H58" s="57">
        <f t="shared" si="13"/>
        <v>23548121472</v>
      </c>
      <c r="I58" s="57">
        <f t="shared" si="13"/>
        <v>21224424562</v>
      </c>
      <c r="J58" s="57">
        <f t="shared" si="13"/>
        <v>17659616125</v>
      </c>
      <c r="K58" s="57">
        <f t="shared" si="13"/>
        <v>15048593649</v>
      </c>
    </row>
    <row r="59" spans="1:11">
      <c r="A59" s="6" t="s">
        <v>118</v>
      </c>
      <c r="B59" s="8">
        <v>20211197125</v>
      </c>
      <c r="C59" s="8">
        <v>16335379211</v>
      </c>
      <c r="D59" s="44">
        <v>16462825366</v>
      </c>
      <c r="E59" s="44">
        <v>13312665463</v>
      </c>
      <c r="F59" s="44">
        <v>9870163235</v>
      </c>
      <c r="G59" s="44">
        <v>11860432727</v>
      </c>
      <c r="H59" s="49">
        <v>11999820697</v>
      </c>
      <c r="I59" s="49">
        <v>10795682357</v>
      </c>
      <c r="J59" s="49">
        <v>9259037288</v>
      </c>
      <c r="K59" s="49">
        <v>8501814057</v>
      </c>
    </row>
    <row r="60" spans="1:11">
      <c r="A60" s="6" t="s">
        <v>119</v>
      </c>
      <c r="B60" s="8">
        <v>7010421644</v>
      </c>
      <c r="C60" s="8">
        <v>5990441810</v>
      </c>
      <c r="D60" s="44">
        <v>5094796381</v>
      </c>
      <c r="E60" s="44">
        <v>4456225249</v>
      </c>
      <c r="F60" s="44">
        <v>4008966085</v>
      </c>
      <c r="G60" s="44">
        <v>4472992794</v>
      </c>
      <c r="H60" s="49">
        <v>3835696147</v>
      </c>
      <c r="I60" s="49">
        <v>3373546340</v>
      </c>
      <c r="J60" s="49">
        <v>2870928129</v>
      </c>
      <c r="K60" s="49">
        <v>1977131002</v>
      </c>
    </row>
    <row r="61" spans="1:11">
      <c r="A61" s="6" t="s">
        <v>120</v>
      </c>
      <c r="B61" s="8">
        <v>3102334418</v>
      </c>
      <c r="C61" s="8">
        <v>2330286716</v>
      </c>
      <c r="D61" s="44">
        <v>2226889431</v>
      </c>
      <c r="E61" s="44">
        <v>1924319716</v>
      </c>
      <c r="F61" s="44">
        <v>1684037475</v>
      </c>
      <c r="G61" s="44">
        <v>1803160720</v>
      </c>
      <c r="H61" s="49">
        <v>1664451977</v>
      </c>
      <c r="I61" s="49">
        <v>1942764215</v>
      </c>
      <c r="J61" s="49">
        <v>1712607612</v>
      </c>
      <c r="K61" s="49">
        <v>1380505513</v>
      </c>
    </row>
    <row r="62" spans="1:11">
      <c r="A62" s="6" t="s">
        <v>121</v>
      </c>
      <c r="B62" s="8">
        <v>291798529</v>
      </c>
      <c r="C62" s="8">
        <v>283255407</v>
      </c>
      <c r="D62" s="44">
        <v>283767874</v>
      </c>
      <c r="E62" s="44">
        <v>253700203</v>
      </c>
      <c r="F62" s="44">
        <v>521317714</v>
      </c>
      <c r="G62" s="44">
        <v>280049136</v>
      </c>
      <c r="H62" s="49">
        <v>240291348</v>
      </c>
      <c r="I62" s="49">
        <v>188269889</v>
      </c>
      <c r="J62" s="49">
        <v>180068236</v>
      </c>
      <c r="K62" s="49">
        <v>174670051</v>
      </c>
    </row>
    <row r="63" spans="1:11">
      <c r="A63" s="10" t="s">
        <v>122</v>
      </c>
      <c r="B63" s="57">
        <f>SUM(B59:B62)</f>
        <v>30615751716</v>
      </c>
      <c r="C63" s="57">
        <f>SUM(C59:C62)</f>
        <v>24939363144</v>
      </c>
      <c r="D63" s="57">
        <f t="shared" ref="D63:E63" si="14">SUM(D59:D62)</f>
        <v>24068279052</v>
      </c>
      <c r="E63" s="57">
        <f t="shared" si="14"/>
        <v>19946910631</v>
      </c>
      <c r="F63" s="57">
        <f t="shared" ref="F63" si="15">SUM(F59:F62)</f>
        <v>16084484509</v>
      </c>
      <c r="G63" s="57">
        <f t="shared" ref="G63:K63" si="16">SUM(G59:G62)</f>
        <v>18416635377</v>
      </c>
      <c r="H63" s="57">
        <f t="shared" si="16"/>
        <v>17740260169</v>
      </c>
      <c r="I63" s="57">
        <f t="shared" si="16"/>
        <v>16300262801</v>
      </c>
      <c r="J63" s="57">
        <f t="shared" si="16"/>
        <v>14022641265</v>
      </c>
      <c r="K63" s="57">
        <f t="shared" si="16"/>
        <v>12034120623</v>
      </c>
    </row>
    <row r="64" spans="1:11">
      <c r="A64" s="10" t="s">
        <v>113</v>
      </c>
      <c r="B64" s="57">
        <f>B58-B63</f>
        <v>8562187329</v>
      </c>
      <c r="C64" s="57">
        <f>C58-C63</f>
        <v>7624580890</v>
      </c>
      <c r="D64" s="57">
        <f t="shared" ref="D64:E64" si="17">D58-D63</f>
        <v>5893041655</v>
      </c>
      <c r="E64" s="57">
        <f t="shared" si="17"/>
        <v>5677009641</v>
      </c>
      <c r="F64" s="57">
        <f t="shared" ref="F64" si="18">F58-F63</f>
        <v>5277762139</v>
      </c>
      <c r="G64" s="57">
        <f t="shared" ref="G64:K64" si="19">G58-G63</f>
        <v>5126914831</v>
      </c>
      <c r="H64" s="57">
        <f t="shared" si="19"/>
        <v>5807861303</v>
      </c>
      <c r="I64" s="57">
        <f t="shared" si="19"/>
        <v>4924161761</v>
      </c>
      <c r="J64" s="57">
        <f t="shared" si="19"/>
        <v>3636974860</v>
      </c>
      <c r="K64" s="57">
        <f t="shared" si="19"/>
        <v>3014473026</v>
      </c>
    </row>
    <row r="65" spans="1:11">
      <c r="B65" s="8"/>
      <c r="C65" s="8"/>
    </row>
    <row r="66" spans="1:11">
      <c r="A66" s="6" t="s">
        <v>123</v>
      </c>
      <c r="B66" s="8"/>
      <c r="C66" s="8">
        <v>30000000</v>
      </c>
      <c r="D66" s="44">
        <v>145100000</v>
      </c>
    </row>
    <row r="67" spans="1:11">
      <c r="A67" s="6" t="s">
        <v>124</v>
      </c>
      <c r="B67" s="8"/>
      <c r="C67" s="8"/>
      <c r="D67" s="44">
        <v>4900000</v>
      </c>
      <c r="E67" s="44">
        <v>4900000</v>
      </c>
      <c r="F67" s="44">
        <v>4900000</v>
      </c>
      <c r="H67" s="49">
        <v>7350000</v>
      </c>
      <c r="J67" s="49">
        <v>9800000</v>
      </c>
      <c r="K67" s="49">
        <v>85583855</v>
      </c>
    </row>
    <row r="68" spans="1:11">
      <c r="A68" s="6" t="s">
        <v>125</v>
      </c>
      <c r="B68" s="8">
        <v>102113490</v>
      </c>
      <c r="C68" s="8">
        <v>92261308</v>
      </c>
      <c r="D68" s="44">
        <v>83421411</v>
      </c>
      <c r="E68" s="44">
        <v>137828363</v>
      </c>
      <c r="F68" s="44">
        <v>33268980</v>
      </c>
      <c r="G68" s="44">
        <v>40775890</v>
      </c>
      <c r="H68" s="49">
        <v>63761705</v>
      </c>
      <c r="I68" s="49">
        <v>83503836</v>
      </c>
      <c r="J68" s="49">
        <v>55055543</v>
      </c>
      <c r="K68" s="49">
        <v>50230621</v>
      </c>
    </row>
    <row r="69" spans="1:11">
      <c r="A69" s="6" t="s">
        <v>126</v>
      </c>
      <c r="B69" s="8"/>
      <c r="C69" s="8"/>
      <c r="H69" s="49">
        <v>682452213</v>
      </c>
      <c r="I69" s="49">
        <v>148151006</v>
      </c>
      <c r="J69" s="49">
        <v>212515871</v>
      </c>
      <c r="K69" s="49">
        <v>52792397</v>
      </c>
    </row>
    <row r="70" spans="1:11">
      <c r="A70" s="6" t="s">
        <v>127</v>
      </c>
      <c r="B70" s="8">
        <v>15115931515</v>
      </c>
      <c r="C70" s="8">
        <v>7114797183</v>
      </c>
      <c r="E70" s="44">
        <v>334425941</v>
      </c>
      <c r="F70" s="44">
        <v>3675753634</v>
      </c>
      <c r="G70" s="44">
        <v>3933742827</v>
      </c>
      <c r="H70" s="49">
        <v>2065524464</v>
      </c>
      <c r="I70" s="49">
        <v>306805478</v>
      </c>
      <c r="J70" s="49">
        <v>316958240</v>
      </c>
      <c r="K70" s="49">
        <v>51425560</v>
      </c>
    </row>
    <row r="71" spans="1:11">
      <c r="A71" s="10" t="s">
        <v>128</v>
      </c>
      <c r="B71" s="57">
        <f>SUM(B66:B70)</f>
        <v>15218045005</v>
      </c>
      <c r="C71" s="57">
        <f>SUM(C66:C70)</f>
        <v>7237058491</v>
      </c>
      <c r="D71" s="57">
        <f t="shared" ref="D71:E71" si="20">SUM(D66:D70)</f>
        <v>233421411</v>
      </c>
      <c r="E71" s="57">
        <f t="shared" si="20"/>
        <v>477154304</v>
      </c>
      <c r="F71" s="57">
        <f t="shared" ref="F71" si="21">SUM(F66:F70)</f>
        <v>3713922614</v>
      </c>
      <c r="G71" s="57">
        <f t="shared" ref="G71:K71" si="22">SUM(G66:G70)</f>
        <v>3974518717</v>
      </c>
      <c r="H71" s="57">
        <f t="shared" si="22"/>
        <v>2819088382</v>
      </c>
      <c r="I71" s="57">
        <f t="shared" si="22"/>
        <v>538460320</v>
      </c>
      <c r="J71" s="57">
        <f t="shared" si="22"/>
        <v>594329654</v>
      </c>
      <c r="K71" s="57">
        <f t="shared" si="22"/>
        <v>240032433</v>
      </c>
    </row>
    <row r="72" spans="1:11">
      <c r="A72" s="6" t="s">
        <v>129</v>
      </c>
      <c r="B72" s="8">
        <v>5480872166</v>
      </c>
      <c r="C72" s="8">
        <v>4474711099</v>
      </c>
      <c r="D72" s="44">
        <v>3130253387</v>
      </c>
      <c r="E72" s="44">
        <v>2328511864</v>
      </c>
      <c r="F72" s="44">
        <v>1772542963</v>
      </c>
      <c r="G72" s="44">
        <v>2779502262</v>
      </c>
      <c r="H72" s="49">
        <v>3591741242</v>
      </c>
      <c r="I72" s="49">
        <v>3589995076</v>
      </c>
      <c r="J72" s="49">
        <v>3567561244</v>
      </c>
      <c r="K72" s="49">
        <v>3255541569</v>
      </c>
    </row>
    <row r="73" spans="1:11">
      <c r="A73" s="6" t="s">
        <v>130</v>
      </c>
      <c r="B73" s="8"/>
      <c r="C73" s="8">
        <v>20000000</v>
      </c>
      <c r="E73" s="44">
        <v>11320755</v>
      </c>
      <c r="F73" s="44">
        <v>58000000</v>
      </c>
    </row>
    <row r="74" spans="1:11">
      <c r="A74" s="6" t="s">
        <v>131</v>
      </c>
      <c r="B74" s="8"/>
      <c r="C74" s="8"/>
      <c r="E74" s="44"/>
      <c r="F74" s="44"/>
      <c r="G74" s="44">
        <v>20314292</v>
      </c>
      <c r="H74" s="49">
        <v>240131373</v>
      </c>
    </row>
    <row r="75" spans="1:11">
      <c r="A75" s="6" t="s">
        <v>132</v>
      </c>
      <c r="B75" s="8">
        <v>9681441916</v>
      </c>
      <c r="C75" s="8">
        <v>7191279706</v>
      </c>
      <c r="D75" s="44">
        <v>4759177210</v>
      </c>
      <c r="F75" s="44">
        <v>3050000000</v>
      </c>
      <c r="G75" s="44">
        <v>4300000000</v>
      </c>
      <c r="H75" s="49">
        <v>2315000000</v>
      </c>
      <c r="I75" s="49">
        <v>590000000</v>
      </c>
      <c r="J75" s="49">
        <v>200000000</v>
      </c>
    </row>
    <row r="76" spans="1:11">
      <c r="A76" s="10" t="s">
        <v>133</v>
      </c>
      <c r="B76" s="57">
        <f>SUM(B72:B75)</f>
        <v>15162314082</v>
      </c>
      <c r="C76" s="57">
        <f>SUM(C72:C75)</f>
        <v>11685990805</v>
      </c>
      <c r="D76" s="57">
        <f t="shared" ref="D76:E76" si="23">SUM(D72:D75)</f>
        <v>7889430597</v>
      </c>
      <c r="E76" s="57">
        <f t="shared" si="23"/>
        <v>2339832619</v>
      </c>
      <c r="F76" s="57">
        <f t="shared" ref="F76" si="24">SUM(F72:F75)</f>
        <v>4880542963</v>
      </c>
      <c r="G76" s="57">
        <f t="shared" ref="G76:K76" si="25">SUM(G72:G75)</f>
        <v>7099816554</v>
      </c>
      <c r="H76" s="57">
        <f t="shared" si="25"/>
        <v>6146872615</v>
      </c>
      <c r="I76" s="57">
        <f t="shared" si="25"/>
        <v>4179995076</v>
      </c>
      <c r="J76" s="57">
        <f t="shared" si="25"/>
        <v>3767561244</v>
      </c>
      <c r="K76" s="57">
        <f t="shared" si="25"/>
        <v>3255541569</v>
      </c>
    </row>
    <row r="77" spans="1:11">
      <c r="A77" s="10" t="s">
        <v>134</v>
      </c>
      <c r="B77" s="57">
        <f>B71-B76</f>
        <v>55730923</v>
      </c>
      <c r="C77" s="57">
        <f>C71-C76</f>
        <v>-4448932314</v>
      </c>
      <c r="D77" s="57">
        <f t="shared" ref="D77:E77" si="26">D71-D76</f>
        <v>-7656009186</v>
      </c>
      <c r="E77" s="57">
        <f t="shared" si="26"/>
        <v>-1862678315</v>
      </c>
      <c r="F77" s="57">
        <f t="shared" ref="F77" si="27">F71-F76</f>
        <v>-1166620349</v>
      </c>
      <c r="G77" s="57">
        <f t="shared" ref="G77:K77" si="28">G71-G76</f>
        <v>-3125297837</v>
      </c>
      <c r="H77" s="57">
        <f t="shared" si="28"/>
        <v>-3327784233</v>
      </c>
      <c r="I77" s="57">
        <f t="shared" si="28"/>
        <v>-3641534756</v>
      </c>
      <c r="J77" s="57">
        <f t="shared" si="28"/>
        <v>-3173231590</v>
      </c>
      <c r="K77" s="57">
        <f t="shared" si="28"/>
        <v>-3015509136</v>
      </c>
    </row>
    <row r="79" spans="1:11">
      <c r="A79" s="6" t="s">
        <v>135</v>
      </c>
      <c r="C79" s="58"/>
      <c r="E79" s="44">
        <v>3578964489</v>
      </c>
      <c r="K79" s="49">
        <v>6523837454</v>
      </c>
    </row>
    <row r="80" spans="1:11">
      <c r="A80" s="6" t="s">
        <v>136</v>
      </c>
      <c r="B80" s="58">
        <v>12733066013</v>
      </c>
      <c r="C80" s="44">
        <v>17508736010</v>
      </c>
      <c r="D80" s="44">
        <v>11576879866</v>
      </c>
      <c r="E80" s="44">
        <v>8944555505</v>
      </c>
      <c r="F80" s="44">
        <v>13669218052</v>
      </c>
      <c r="G80" s="44">
        <v>15219223239</v>
      </c>
      <c r="H80" s="49">
        <v>13264898468</v>
      </c>
      <c r="I80" s="49">
        <v>10648891109</v>
      </c>
      <c r="J80" s="49">
        <v>8073542158</v>
      </c>
      <c r="K80" s="49">
        <v>7366909838</v>
      </c>
    </row>
    <row r="81" spans="1:11">
      <c r="A81" s="59" t="s">
        <v>137</v>
      </c>
      <c r="B81" s="58"/>
      <c r="C81" s="44"/>
      <c r="D81" s="44"/>
      <c r="E81" s="44"/>
      <c r="F81" s="44"/>
      <c r="G81" s="44"/>
      <c r="H81" s="49"/>
      <c r="I81" s="49"/>
      <c r="J81" s="49">
        <v>800000000</v>
      </c>
      <c r="K81" s="49"/>
    </row>
    <row r="82" spans="1:11">
      <c r="A82" s="6" t="s">
        <v>138</v>
      </c>
      <c r="B82" s="44">
        <v>300000000</v>
      </c>
      <c r="D82" s="44">
        <v>3293000000</v>
      </c>
      <c r="E82" s="44">
        <v>1800000000</v>
      </c>
      <c r="F82" s="44">
        <v>3000000000</v>
      </c>
      <c r="G82" s="44">
        <v>1700000000</v>
      </c>
      <c r="H82" s="49">
        <v>300000000</v>
      </c>
      <c r="J82" s="49">
        <v>1200000000</v>
      </c>
      <c r="K82" s="49">
        <v>170900000</v>
      </c>
    </row>
    <row r="83" s="13" customFormat="1" spans="1:11">
      <c r="A83" s="13" t="s">
        <v>139</v>
      </c>
      <c r="B83" s="60">
        <f>SUM(B79:B82)</f>
        <v>13033066013</v>
      </c>
      <c r="C83" s="60">
        <f>SUM(C79:C82)</f>
        <v>17508736010</v>
      </c>
      <c r="D83" s="60">
        <f t="shared" ref="D83:E83" si="29">SUM(D79:D82)</f>
        <v>14869879866</v>
      </c>
      <c r="E83" s="60">
        <f t="shared" si="29"/>
        <v>14323519994</v>
      </c>
      <c r="F83" s="60">
        <f t="shared" ref="F83" si="30">SUM(F79:F82)</f>
        <v>16669218052</v>
      </c>
      <c r="G83" s="60">
        <f t="shared" ref="G83:K83" si="31">SUM(G79:G82)</f>
        <v>16919223239</v>
      </c>
      <c r="H83" s="60">
        <f t="shared" si="31"/>
        <v>13564898468</v>
      </c>
      <c r="I83" s="60">
        <f t="shared" si="31"/>
        <v>10648891109</v>
      </c>
      <c r="J83" s="60">
        <f t="shared" si="31"/>
        <v>10073542158</v>
      </c>
      <c r="K83" s="60">
        <f t="shared" si="31"/>
        <v>14061647292</v>
      </c>
    </row>
    <row r="84" s="13" customFormat="1" spans="1:11">
      <c r="A84" s="6" t="s">
        <v>140</v>
      </c>
      <c r="B84" s="46">
        <v>12490915237</v>
      </c>
      <c r="C84" s="46">
        <v>15885156748</v>
      </c>
      <c r="D84" s="46">
        <v>13043226475</v>
      </c>
      <c r="E84" s="46">
        <v>9976147237</v>
      </c>
      <c r="F84" s="46">
        <v>17571509456</v>
      </c>
      <c r="G84" s="46">
        <v>14637412694</v>
      </c>
      <c r="H84" s="49">
        <v>13341532550</v>
      </c>
      <c r="I84" s="49">
        <v>9989267535</v>
      </c>
      <c r="J84" s="49">
        <v>7553966708</v>
      </c>
      <c r="K84" s="49">
        <v>7236350677</v>
      </c>
    </row>
    <row r="85" spans="1:11">
      <c r="A85" s="6" t="s">
        <v>141</v>
      </c>
      <c r="B85" s="46">
        <v>3713615661</v>
      </c>
      <c r="C85" s="46">
        <v>3596607894</v>
      </c>
      <c r="D85" s="46">
        <v>2907622437</v>
      </c>
      <c r="E85" s="46">
        <v>2277802231</v>
      </c>
      <c r="F85" s="44">
        <v>2219213537</v>
      </c>
      <c r="G85" s="44">
        <v>2310071663</v>
      </c>
      <c r="H85" s="49">
        <v>3303070399</v>
      </c>
      <c r="I85" s="49">
        <v>2110837864</v>
      </c>
      <c r="J85" s="49">
        <v>2035111204</v>
      </c>
      <c r="K85" s="49">
        <v>1714508880</v>
      </c>
    </row>
    <row r="86" spans="1:11">
      <c r="A86" s="6" t="s">
        <v>142</v>
      </c>
      <c r="B86" s="46">
        <v>186709479</v>
      </c>
      <c r="C86" s="46">
        <v>307315590</v>
      </c>
      <c r="D86" s="46">
        <v>154914903</v>
      </c>
      <c r="E86" s="46">
        <v>117752796</v>
      </c>
      <c r="F86" s="44">
        <v>158014790</v>
      </c>
      <c r="G86" s="44">
        <v>87275186</v>
      </c>
      <c r="H86" s="49">
        <v>299581</v>
      </c>
      <c r="I86" s="49">
        <v>4620000</v>
      </c>
      <c r="J86" s="49">
        <v>59975603</v>
      </c>
      <c r="K86" s="49">
        <v>2722543</v>
      </c>
    </row>
    <row r="87" s="13" customFormat="1" spans="1:11">
      <c r="A87" s="13" t="s">
        <v>143</v>
      </c>
      <c r="B87" s="41">
        <f>SUM(B84:B86)</f>
        <v>16391240377</v>
      </c>
      <c r="C87" s="41">
        <f>SUM(C84:C86)</f>
        <v>19789080232</v>
      </c>
      <c r="D87" s="41">
        <f t="shared" ref="D87:E87" si="32">SUM(D84:D86)</f>
        <v>16105763815</v>
      </c>
      <c r="E87" s="41">
        <f t="shared" si="32"/>
        <v>12371702264</v>
      </c>
      <c r="F87" s="41">
        <f t="shared" ref="F87" si="33">SUM(F84:F86)</f>
        <v>19948737783</v>
      </c>
      <c r="G87" s="41">
        <f t="shared" ref="G87:K87" si="34">SUM(G84:G86)</f>
        <v>17034759543</v>
      </c>
      <c r="H87" s="41">
        <f t="shared" si="34"/>
        <v>16644902530</v>
      </c>
      <c r="I87" s="41">
        <f t="shared" si="34"/>
        <v>12104725399</v>
      </c>
      <c r="J87" s="41">
        <f t="shared" si="34"/>
        <v>9649053515</v>
      </c>
      <c r="K87" s="41">
        <f t="shared" si="34"/>
        <v>8953582100</v>
      </c>
    </row>
    <row r="88" s="13" customFormat="1" spans="1:11">
      <c r="A88" s="13" t="s">
        <v>144</v>
      </c>
      <c r="B88" s="41">
        <f>B83-B87</f>
        <v>-3358174364</v>
      </c>
      <c r="C88" s="41">
        <f>C83-C87</f>
        <v>-2280344222</v>
      </c>
      <c r="D88" s="41">
        <f t="shared" ref="D88:E88" si="35">D83-D87</f>
        <v>-1235883949</v>
      </c>
      <c r="E88" s="41">
        <f t="shared" si="35"/>
        <v>1951817730</v>
      </c>
      <c r="F88" s="41">
        <f t="shared" ref="F88" si="36">F83-F87</f>
        <v>-3279519731</v>
      </c>
      <c r="G88" s="41">
        <f t="shared" ref="G88:J88" si="37">G83-G87</f>
        <v>-115536304</v>
      </c>
      <c r="H88" s="41">
        <f t="shared" si="37"/>
        <v>-3080004062</v>
      </c>
      <c r="I88" s="41">
        <f t="shared" si="37"/>
        <v>-1455834290</v>
      </c>
      <c r="J88" s="41">
        <f t="shared" si="37"/>
        <v>424488643</v>
      </c>
      <c r="K88" s="41">
        <f>K84-K87</f>
        <v>-1717231423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C30" sqref="C30"/>
    </sheetView>
  </sheetViews>
  <sheetFormatPr defaultColWidth="8.83035714285714" defaultRowHeight="16.8"/>
  <cols>
    <col min="1" max="1" width="18.3303571428571" customWidth="1"/>
    <col min="2" max="3" width="17.1607142857143" customWidth="1"/>
    <col min="4" max="7" width="14.3303571428571" customWidth="1"/>
    <col min="8" max="11" width="16.3303571428571" customWidth="1"/>
  </cols>
  <sheetData>
    <row r="1" spans="1:11">
      <c r="B1" s="40">
        <v>2024</v>
      </c>
      <c r="C1" s="40">
        <v>2023</v>
      </c>
      <c r="D1" s="40">
        <v>2022</v>
      </c>
      <c r="E1" s="40">
        <v>2021</v>
      </c>
      <c r="F1" s="40">
        <v>2020</v>
      </c>
      <c r="G1" s="40">
        <v>2019</v>
      </c>
      <c r="H1" s="40">
        <v>2018</v>
      </c>
      <c r="I1" s="40">
        <v>2017</v>
      </c>
      <c r="J1" s="40">
        <v>2016</v>
      </c>
      <c r="K1" s="40">
        <v>2015</v>
      </c>
    </row>
    <row r="2" spans="1:11">
      <c r="A2" t="s">
        <v>145</v>
      </c>
    </row>
    <row r="3" s="13" customFormat="1" spans="1:11">
      <c r="A3" s="40" t="s">
        <v>146</v>
      </c>
      <c r="B3" s="41">
        <v>38710428679</v>
      </c>
      <c r="C3" s="41">
        <v>32650176898</v>
      </c>
      <c r="D3" s="41">
        <v>27650978801</v>
      </c>
      <c r="E3" s="41">
        <v>23261134069</v>
      </c>
      <c r="F3" s="42">
        <v>19641289272</v>
      </c>
      <c r="G3" s="42">
        <v>20765088255</v>
      </c>
      <c r="H3" s="43">
        <v>19883838974</v>
      </c>
      <c r="I3" s="43">
        <v>18190913985</v>
      </c>
      <c r="J3" s="43">
        <v>16290566904</v>
      </c>
      <c r="K3" s="43">
        <v>13272702952</v>
      </c>
    </row>
    <row r="4" spans="1:11">
      <c r="A4" s="5" t="s">
        <v>147</v>
      </c>
      <c r="B4" s="44">
        <v>35711992929</v>
      </c>
      <c r="C4" s="44">
        <v>29887354294</v>
      </c>
      <c r="D4" s="44">
        <v>25591272963</v>
      </c>
      <c r="E4" s="44">
        <v>21379623201</v>
      </c>
      <c r="F4" s="45">
        <v>17942033181</v>
      </c>
      <c r="G4" s="45">
        <v>18957337043</v>
      </c>
      <c r="H4" s="44">
        <v>19351888769</v>
      </c>
      <c r="I4" s="44">
        <v>17868123103</v>
      </c>
    </row>
    <row r="5" spans="1:11">
      <c r="A5" s="5" t="s">
        <v>148</v>
      </c>
      <c r="B5" s="44">
        <v>5960560140</v>
      </c>
      <c r="C5" s="44">
        <v>5708192224</v>
      </c>
      <c r="D5" s="44">
        <v>4536714592</v>
      </c>
      <c r="E5" s="44">
        <v>4029400372</v>
      </c>
      <c r="F5" s="45">
        <v>3491541713</v>
      </c>
      <c r="G5" s="45">
        <v>3644797566</v>
      </c>
      <c r="H5" s="44">
        <v>3220524367</v>
      </c>
      <c r="I5" s="44">
        <v>2899053827</v>
      </c>
    </row>
    <row r="6" spans="1:11">
      <c r="A6" s="6" t="s">
        <v>112</v>
      </c>
      <c r="B6" s="44"/>
      <c r="C6" s="44"/>
      <c r="D6" s="44"/>
      <c r="E6" s="44"/>
      <c r="F6" s="5"/>
      <c r="G6" s="5"/>
    </row>
    <row r="7" spans="1:11">
      <c r="A7" s="5"/>
      <c r="B7" s="44"/>
      <c r="C7" s="44"/>
      <c r="F7" s="5"/>
      <c r="G7" s="5"/>
    </row>
    <row r="8" s="13" customFormat="1" spans="1:11">
      <c r="A8" s="40" t="s">
        <v>71</v>
      </c>
      <c r="B8" s="41">
        <v>24922427939</v>
      </c>
      <c r="C8" s="41">
        <v>21310091980</v>
      </c>
      <c r="D8" s="41">
        <v>18410110199</v>
      </c>
      <c r="E8" s="41">
        <v>15039848812</v>
      </c>
      <c r="F8" s="42">
        <v>11944882127</v>
      </c>
      <c r="G8" s="42">
        <v>13060926884</v>
      </c>
      <c r="H8" s="43">
        <v>11488667084</v>
      </c>
      <c r="I8" s="43">
        <v>10484369082</v>
      </c>
      <c r="J8" s="43">
        <v>9329573724</v>
      </c>
      <c r="K8" s="43">
        <v>7696406162</v>
      </c>
    </row>
    <row r="9" spans="1:11">
      <c r="A9" s="5" t="s">
        <v>147</v>
      </c>
      <c r="B9" s="44">
        <v>24943534919</v>
      </c>
      <c r="C9" s="44">
        <v>20745955716</v>
      </c>
      <c r="D9" s="44">
        <v>18002483558</v>
      </c>
      <c r="E9" s="44">
        <v>14952938108</v>
      </c>
      <c r="F9" s="45">
        <v>11757642229</v>
      </c>
      <c r="G9" s="45">
        <v>12411825241</v>
      </c>
      <c r="H9" s="44">
        <v>12407230011</v>
      </c>
      <c r="I9" s="44">
        <v>11274474151</v>
      </c>
    </row>
    <row r="10" spans="1:11">
      <c r="A10" s="5" t="s">
        <v>148</v>
      </c>
      <c r="B10" s="44">
        <v>3812209771</v>
      </c>
      <c r="C10" s="44">
        <v>4069450484</v>
      </c>
      <c r="D10" s="44">
        <v>3329138613</v>
      </c>
      <c r="E10" s="44">
        <v>2571070680</v>
      </c>
      <c r="F10" s="45">
        <v>2150493545</v>
      </c>
      <c r="G10" s="45">
        <v>2372599956</v>
      </c>
      <c r="H10" s="44">
        <v>1870957442</v>
      </c>
      <c r="I10" s="44">
        <v>1841648761</v>
      </c>
    </row>
    <row r="11" spans="1:11">
      <c r="A11" s="5"/>
      <c r="B11" s="44"/>
      <c r="C11" s="44"/>
      <c r="F11" s="5"/>
      <c r="G11" s="5"/>
    </row>
    <row r="12" s="13" customFormat="1" spans="1:11">
      <c r="A12" s="40" t="s">
        <v>149</v>
      </c>
      <c r="B12" s="41">
        <f>B3-B8</f>
        <v>13788000740</v>
      </c>
      <c r="C12" s="41">
        <f>C3-C8</f>
        <v>11340084918</v>
      </c>
      <c r="D12" s="41">
        <f t="shared" ref="D12:K12" si="0">D3-D8</f>
        <v>9240868602</v>
      </c>
      <c r="E12" s="41">
        <f t="shared" si="0"/>
        <v>8221285257</v>
      </c>
      <c r="F12" s="42">
        <f t="shared" si="0"/>
        <v>7696407145</v>
      </c>
      <c r="G12" s="42">
        <f t="shared" si="0"/>
        <v>7704161371</v>
      </c>
      <c r="H12" s="42">
        <f t="shared" si="0"/>
        <v>8395171890</v>
      </c>
      <c r="I12" s="42">
        <f t="shared" si="0"/>
        <v>7706544903</v>
      </c>
      <c r="J12" s="42">
        <f t="shared" si="0"/>
        <v>6960993180</v>
      </c>
      <c r="K12" s="42">
        <f t="shared" si="0"/>
        <v>5576296790</v>
      </c>
    </row>
    <row r="13" spans="1:11">
      <c r="A13" s="5" t="s">
        <v>147</v>
      </c>
      <c r="B13" s="46">
        <f>B4-B9</f>
        <v>10768458010</v>
      </c>
      <c r="C13" s="46">
        <f t="shared" ref="C13:K13" si="1">C4-C9</f>
        <v>9141398578</v>
      </c>
      <c r="D13" s="46">
        <f t="shared" si="1"/>
        <v>7588789405</v>
      </c>
      <c r="E13" s="46">
        <f t="shared" si="1"/>
        <v>6426685093</v>
      </c>
      <c r="F13" s="46">
        <f t="shared" si="1"/>
        <v>6184390952</v>
      </c>
      <c r="G13" s="46">
        <f t="shared" si="1"/>
        <v>6545511802</v>
      </c>
      <c r="H13" s="46">
        <f t="shared" si="1"/>
        <v>6944658758</v>
      </c>
      <c r="I13" s="46">
        <f t="shared" si="1"/>
        <v>6593648952</v>
      </c>
      <c r="J13" s="46">
        <f t="shared" si="1"/>
        <v>0</v>
      </c>
      <c r="K13" s="46">
        <f t="shared" si="1"/>
        <v>0</v>
      </c>
    </row>
    <row r="14" spans="1:11">
      <c r="A14" s="5" t="s">
        <v>148</v>
      </c>
      <c r="B14" s="46">
        <f>B5-B10</f>
        <v>2148350369</v>
      </c>
      <c r="C14" s="46">
        <f t="shared" ref="C14:K14" si="2">C5-C10</f>
        <v>1638741740</v>
      </c>
      <c r="D14" s="46">
        <f t="shared" si="2"/>
        <v>1207575979</v>
      </c>
      <c r="E14" s="46">
        <f t="shared" si="2"/>
        <v>1458329692</v>
      </c>
      <c r="F14" s="46">
        <f t="shared" si="2"/>
        <v>1341048168</v>
      </c>
      <c r="G14" s="46">
        <f t="shared" si="2"/>
        <v>1272197610</v>
      </c>
      <c r="H14" s="46">
        <f t="shared" si="2"/>
        <v>1349566925</v>
      </c>
      <c r="I14" s="46">
        <f t="shared" si="2"/>
        <v>1057405066</v>
      </c>
      <c r="J14" s="46">
        <f t="shared" si="2"/>
        <v>0</v>
      </c>
      <c r="K14" s="46">
        <f t="shared" si="2"/>
        <v>0</v>
      </c>
    </row>
    <row r="15" spans="1:11">
      <c r="A15" s="5"/>
      <c r="B15" s="46"/>
      <c r="C15" s="44"/>
      <c r="F15" s="5"/>
      <c r="G15" s="5"/>
    </row>
    <row r="16" spans="1:11">
      <c r="A16" t="s">
        <v>150</v>
      </c>
      <c r="B16" s="44"/>
      <c r="C16" s="44"/>
      <c r="F16" s="5"/>
      <c r="G16" s="5"/>
    </row>
    <row r="17" s="13" customFormat="1" spans="1:11">
      <c r="A17" s="23" t="s">
        <v>146</v>
      </c>
      <c r="B17" s="41">
        <v>541228588</v>
      </c>
      <c r="C17" s="41">
        <v>510819743</v>
      </c>
      <c r="D17" s="41">
        <v>447775365</v>
      </c>
      <c r="E17" s="41">
        <v>341929292</v>
      </c>
      <c r="F17" s="42">
        <v>265304196</v>
      </c>
      <c r="G17" s="42">
        <v>338789268</v>
      </c>
      <c r="H17" s="43">
        <v>341146746</v>
      </c>
      <c r="I17" s="43">
        <v>522120989</v>
      </c>
      <c r="J17" s="43">
        <v>330769369</v>
      </c>
      <c r="K17" s="43">
        <v>300792103</v>
      </c>
    </row>
    <row r="18" s="13" customFormat="1" spans="1:11">
      <c r="A18" s="23" t="s">
        <v>71</v>
      </c>
      <c r="B18" s="41">
        <v>108449502</v>
      </c>
      <c r="C18" s="41">
        <v>114234160</v>
      </c>
      <c r="D18" s="41">
        <v>125334935</v>
      </c>
      <c r="E18" s="41">
        <v>89204424</v>
      </c>
      <c r="F18" s="42">
        <v>97335416</v>
      </c>
      <c r="G18" s="42">
        <v>136627509</v>
      </c>
      <c r="H18" s="43">
        <v>114387863</v>
      </c>
      <c r="I18" s="43">
        <v>228242734</v>
      </c>
      <c r="J18" s="43">
        <v>133740207</v>
      </c>
      <c r="K18" s="43">
        <v>117937075</v>
      </c>
    </row>
    <row r="19" s="13" customFormat="1" spans="1:11">
      <c r="A19" s="23" t="s">
        <v>149</v>
      </c>
      <c r="B19" s="41">
        <f>B17-B18</f>
        <v>432779086</v>
      </c>
      <c r="C19" s="41">
        <f>C17-C18</f>
        <v>396585583</v>
      </c>
      <c r="D19" s="41">
        <f t="shared" ref="D19:E19" si="3">D17-D18</f>
        <v>322440430</v>
      </c>
      <c r="E19" s="41">
        <f t="shared" si="3"/>
        <v>252724868</v>
      </c>
      <c r="F19" s="41">
        <f t="shared" ref="F19" si="4">F17-F18</f>
        <v>167968780</v>
      </c>
      <c r="G19" s="41">
        <f t="shared" ref="G19:K19" si="5">G17-G18</f>
        <v>202161759</v>
      </c>
      <c r="H19" s="41">
        <f t="shared" si="5"/>
        <v>226758883</v>
      </c>
      <c r="I19" s="41">
        <f t="shared" si="5"/>
        <v>293878255</v>
      </c>
      <c r="J19" s="41">
        <f t="shared" si="5"/>
        <v>197029162</v>
      </c>
      <c r="K19" s="41">
        <f t="shared" si="5"/>
        <v>182855028</v>
      </c>
    </row>
    <row r="22" spans="1:11">
      <c r="A22" s="10" t="s">
        <v>151</v>
      </c>
    </row>
    <row r="23" spans="1:11">
      <c r="A23" s="40" t="s">
        <v>146</v>
      </c>
      <c r="B23" s="12">
        <f>B3/C3-1</f>
        <v>0.185611606330109</v>
      </c>
      <c r="C23" s="12">
        <f t="shared" ref="C23:J23" si="6">C3/D3-1</f>
        <v>0.180796424350056</v>
      </c>
      <c r="D23" s="12">
        <f t="shared" si="6"/>
        <v>0.188720150916903</v>
      </c>
      <c r="E23" s="12">
        <f t="shared" si="6"/>
        <v>0.184297718284733</v>
      </c>
      <c r="F23" s="12">
        <f t="shared" si="6"/>
        <v>-0.0541196343208126</v>
      </c>
      <c r="G23" s="12">
        <f t="shared" si="6"/>
        <v>0.0443198761643724</v>
      </c>
      <c r="H23" s="12">
        <f t="shared" si="6"/>
        <v>0.0930643171858194</v>
      </c>
      <c r="I23" s="12">
        <f t="shared" si="6"/>
        <v>0.116653219755869</v>
      </c>
      <c r="J23" s="12">
        <f t="shared" si="6"/>
        <v>0.227373728087936</v>
      </c>
    </row>
    <row r="24" spans="1:11">
      <c r="A24" s="5" t="s">
        <v>147</v>
      </c>
      <c r="B24" s="12">
        <f t="shared" ref="B24:J25" si="7">B4/C4-1</f>
        <v>0.194886391672659</v>
      </c>
      <c r="C24" s="12">
        <f t="shared" si="7"/>
        <v>0.167872904845777</v>
      </c>
      <c r="D24" s="12">
        <f t="shared" si="7"/>
        <v>0.196993638400653</v>
      </c>
      <c r="E24" s="12">
        <f t="shared" si="7"/>
        <v>0.19159422933407</v>
      </c>
      <c r="F24" s="12">
        <f t="shared" si="7"/>
        <v>-0.0535573039450128</v>
      </c>
      <c r="G24" s="12">
        <f t="shared" si="7"/>
        <v>-0.0203882799611806</v>
      </c>
      <c r="H24" s="12">
        <f t="shared" si="7"/>
        <v>0.0830398166302582</v>
      </c>
      <c r="I24" s="12" t="e">
        <f t="shared" si="7"/>
        <v>#DIV/0!</v>
      </c>
      <c r="J24" s="12" t="e">
        <f t="shared" si="7"/>
        <v>#DIV/0!</v>
      </c>
    </row>
    <row r="25" spans="1:11">
      <c r="A25" s="5" t="s">
        <v>148</v>
      </c>
      <c r="B25" s="12">
        <f t="shared" si="7"/>
        <v>0.0442115307432926</v>
      </c>
      <c r="C25" s="12">
        <f t="shared" si="7"/>
        <v>0.258221584859178</v>
      </c>
      <c r="D25" s="12">
        <f t="shared" si="7"/>
        <v>0.125903155101014</v>
      </c>
      <c r="E25" s="12">
        <f t="shared" si="7"/>
        <v>0.154046178797578</v>
      </c>
      <c r="F25" s="12">
        <f t="shared" si="7"/>
        <v>-0.0420478367384862</v>
      </c>
      <c r="G25" s="12">
        <f t="shared" si="7"/>
        <v>0.131740409526919</v>
      </c>
      <c r="H25" s="12">
        <f t="shared" si="7"/>
        <v>0.11088808941939</v>
      </c>
      <c r="I25" s="12" t="e">
        <f t="shared" si="7"/>
        <v>#DIV/0!</v>
      </c>
      <c r="J25" s="12" t="e">
        <f t="shared" si="7"/>
        <v>#DIV/0!</v>
      </c>
    </row>
    <row r="27" spans="1:11">
      <c r="B27" s="47">
        <f>B3/I3</f>
        <v>2.12800900003816</v>
      </c>
    </row>
    <row r="28" spans="1:11">
      <c r="B28" s="47">
        <f t="shared" ref="B28:B29" si="8">B4/I4</f>
        <v>1.99864265111337</v>
      </c>
    </row>
    <row r="29" spans="1:11">
      <c r="B29" s="47">
        <f t="shared" si="8"/>
        <v>2.05603638141763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3"/>
  <sheetViews>
    <sheetView workbookViewId="0">
      <pane xSplit="1" ySplit="1" topLeftCell="B59" activePane="bottomRight" state="frozen"/>
      <selection/>
      <selection pane="topRight"/>
      <selection pane="bottomLeft"/>
      <selection pane="bottomRight" activeCell="D49" sqref="D49"/>
    </sheetView>
  </sheetViews>
  <sheetFormatPr defaultColWidth="11" defaultRowHeight="16.8"/>
  <cols>
    <col min="1" max="1" width="20.8303571428571" customWidth="1"/>
    <col min="2" max="2" width="17.8303571428571" customWidth="1"/>
    <col min="3" max="3" width="16.3303571428571" customWidth="1"/>
    <col min="4" max="13" width="15.3303571428571" customWidth="1"/>
  </cols>
  <sheetData>
    <row r="1" s="1" customFormat="1" ht="17" customHeight="1" spans="1:13">
      <c r="B1" s="1" t="s">
        <v>152</v>
      </c>
      <c r="C1" s="1" t="s">
        <v>152</v>
      </c>
      <c r="D1" s="1">
        <v>2024</v>
      </c>
      <c r="E1" s="1">
        <v>2023</v>
      </c>
      <c r="F1" s="1">
        <v>2022</v>
      </c>
      <c r="G1" s="1">
        <v>2021</v>
      </c>
      <c r="H1" s="1">
        <v>2020</v>
      </c>
      <c r="I1" s="1">
        <v>2019</v>
      </c>
      <c r="J1" s="1">
        <v>2018</v>
      </c>
      <c r="K1" s="1">
        <v>2017</v>
      </c>
      <c r="L1" s="1">
        <v>2016</v>
      </c>
      <c r="M1" s="1">
        <v>2015</v>
      </c>
    </row>
    <row r="2" ht="17.6" spans="1:13">
      <c r="A2" s="2" t="s">
        <v>10</v>
      </c>
      <c r="D2" s="3">
        <f>balance!C2</f>
        <v>63254182536</v>
      </c>
      <c r="E2" s="3">
        <f>balance!D2</f>
        <v>56630407495</v>
      </c>
      <c r="F2" s="3">
        <f>balance!E2</f>
        <v>50767498791</v>
      </c>
      <c r="G2" s="3">
        <f>balance!F2</f>
        <v>44784893954</v>
      </c>
      <c r="H2" s="3">
        <f>balance!G2</f>
        <v>38423625184</v>
      </c>
      <c r="I2" s="3">
        <f>balance!H2</f>
        <v>38826279607</v>
      </c>
      <c r="J2" s="3">
        <f>balance!I2</f>
        <v>34490438670</v>
      </c>
      <c r="K2" s="3">
        <f>balance!J2</f>
        <v>31920898046</v>
      </c>
      <c r="L2" s="3">
        <f>balance!K2</f>
        <v>29865845423</v>
      </c>
      <c r="M2" s="3">
        <f>balance!L2</f>
        <v>24640919497</v>
      </c>
    </row>
    <row r="3" spans="1:13">
      <c r="A3" s="4" t="s">
        <v>153</v>
      </c>
      <c r="D3" s="3">
        <f>balance!C4</f>
        <v>20713712160</v>
      </c>
      <c r="E3" s="3">
        <f>balance!D4</f>
        <v>19838830944</v>
      </c>
      <c r="F3" s="3">
        <f>balance!E4</f>
        <v>18165180172</v>
      </c>
      <c r="G3" s="3">
        <f>balance!F4</f>
        <v>15447688808</v>
      </c>
      <c r="H3" s="3">
        <f>balance!G4</f>
        <v>10411885641</v>
      </c>
      <c r="I3" s="3">
        <f>balance!H4</f>
        <v>10001551003</v>
      </c>
      <c r="J3" s="3">
        <f>balance!I4</f>
        <v>6800777265</v>
      </c>
      <c r="K3" s="3">
        <f>balance!J4</f>
        <v>6833689446</v>
      </c>
      <c r="L3" s="3">
        <f>balance!K4</f>
        <v>7213130254</v>
      </c>
      <c r="M3" s="3">
        <f>balance!L4</f>
        <v>5918845168</v>
      </c>
    </row>
    <row r="4" spans="1:13">
      <c r="A4" s="4" t="s">
        <v>154</v>
      </c>
      <c r="D4" s="3">
        <f>balance!C10</f>
        <v>524177494</v>
      </c>
      <c r="E4" s="3">
        <f>balance!D10</f>
        <v>272592774</v>
      </c>
      <c r="F4" s="3">
        <f>balance!E10</f>
        <v>327607056</v>
      </c>
      <c r="G4" s="3">
        <f>balance!F10</f>
        <v>298144705</v>
      </c>
      <c r="H4" s="3">
        <f>balance!G10</f>
        <v>264748905</v>
      </c>
      <c r="I4" s="3">
        <f>balance!H10</f>
        <v>199805151</v>
      </c>
      <c r="J4" s="3">
        <f>balance!I10</f>
        <v>205738050</v>
      </c>
      <c r="K4" s="3">
        <f>balance!J10</f>
        <v>95519959</v>
      </c>
      <c r="L4" s="3">
        <f>balance!K10</f>
        <v>101536425</v>
      </c>
      <c r="M4" s="3">
        <f>balance!L10</f>
        <v>46449341</v>
      </c>
    </row>
    <row r="5" spans="1:13">
      <c r="A5" s="4" t="s">
        <v>155</v>
      </c>
      <c r="D5" s="3">
        <f>balance!C13</f>
        <v>16094542311</v>
      </c>
      <c r="E5" s="3">
        <f>balance!D13</f>
        <v>14147469320</v>
      </c>
      <c r="F5" s="3">
        <f>balance!E13</f>
        <v>12235113740</v>
      </c>
      <c r="G5" s="3">
        <f>balance!F13</f>
        <v>10129858419</v>
      </c>
      <c r="H5" s="3">
        <f>balance!G13</f>
        <v>8668361952</v>
      </c>
      <c r="I5" s="3">
        <f>balance!H13</f>
        <v>8471317618</v>
      </c>
      <c r="J5" s="3">
        <f>balance!I13</f>
        <v>9033666442</v>
      </c>
      <c r="K5" s="3">
        <f>balance!J13</f>
        <v>8680763546</v>
      </c>
      <c r="L5" s="3">
        <f>balance!K13</f>
        <v>7948521897</v>
      </c>
      <c r="M5" s="3">
        <f>balance!L13</f>
        <v>6631629264</v>
      </c>
    </row>
    <row r="6" spans="1:13">
      <c r="A6" s="5" t="s">
        <v>156</v>
      </c>
      <c r="D6" s="3">
        <f>balance!C15+balance!C16</f>
        <v>8969464994</v>
      </c>
      <c r="E6" s="3">
        <f>balance!D15+balance!D16</f>
        <v>7496008772</v>
      </c>
      <c r="F6" s="3">
        <f>balance!E15+balance!E16</f>
        <v>5461966571</v>
      </c>
      <c r="G6" s="3">
        <f>balance!F15+balance!F16</f>
        <v>4350121771</v>
      </c>
      <c r="H6" s="3">
        <f>balance!G15+balance!G16</f>
        <v>3753925498</v>
      </c>
      <c r="I6" s="3">
        <f>balance!H15+balance!H16</f>
        <v>3477440317</v>
      </c>
      <c r="J6" s="3">
        <f>balance!I15+balance!I16</f>
        <v>4304107516</v>
      </c>
      <c r="K6" s="3">
        <f>balance!J15+balance!J16</f>
        <v>4637643979</v>
      </c>
      <c r="L6" s="3">
        <f>balance!K15+balance!K16</f>
        <v>4507940963</v>
      </c>
      <c r="M6" s="3">
        <f>balance!L15+balance!L16</f>
        <v>3332153445</v>
      </c>
    </row>
    <row r="7" spans="1:13">
      <c r="A7" s="6" t="s">
        <v>157</v>
      </c>
      <c r="D7" s="3">
        <f>balance!C17</f>
        <v>305455256</v>
      </c>
      <c r="E7" s="3">
        <f>balance!D17</f>
        <v>316529520</v>
      </c>
      <c r="F7" s="3">
        <f>balance!E17</f>
        <v>235934604</v>
      </c>
      <c r="G7" s="3">
        <f>balance!F17</f>
        <v>238959820</v>
      </c>
      <c r="H7" s="3">
        <f>balance!G17</f>
        <v>173525313</v>
      </c>
      <c r="I7" s="3">
        <f>balance!H17</f>
        <v>222501827</v>
      </c>
      <c r="J7" s="3">
        <f>balance!I17</f>
        <v>220126772</v>
      </c>
      <c r="K7" s="3">
        <f>balance!J17</f>
        <v>195521295</v>
      </c>
      <c r="L7" s="3">
        <f>balance!K17</f>
        <v>150956724</v>
      </c>
      <c r="M7" s="3">
        <f>balance!L17</f>
        <v>178812459</v>
      </c>
    </row>
    <row r="8" spans="1:13">
      <c r="A8" s="5" t="s">
        <v>21</v>
      </c>
      <c r="D8" s="3">
        <f>balance!C14</f>
        <v>5970614068</v>
      </c>
      <c r="E8" s="3">
        <f>balance!D14</f>
        <v>5143615319</v>
      </c>
      <c r="F8" s="3">
        <f>balance!E14</f>
        <v>5403360356</v>
      </c>
      <c r="G8" s="3">
        <f>balance!F14</f>
        <v>4327048485</v>
      </c>
      <c r="H8" s="3">
        <f>balance!G14</f>
        <v>3280989599</v>
      </c>
      <c r="I8" s="3">
        <f>balance!H14</f>
        <v>3280465303</v>
      </c>
      <c r="J8" s="3">
        <f>balance!I14</f>
        <v>3241739977</v>
      </c>
      <c r="K8" s="3">
        <f>balance!J14</f>
        <v>2974677451</v>
      </c>
      <c r="L8" s="3">
        <f>balance!K14</f>
        <v>2785865099</v>
      </c>
      <c r="M8" s="3">
        <f>balance!L14</f>
        <v>2815388428</v>
      </c>
    </row>
    <row r="9" spans="1:13">
      <c r="A9" s="4" t="s">
        <v>31</v>
      </c>
      <c r="D9" s="3">
        <f>balance!C25</f>
        <v>25921750571</v>
      </c>
      <c r="E9" s="3">
        <f>balance!D25</f>
        <v>22371514457</v>
      </c>
      <c r="F9" s="3">
        <f>balance!E25</f>
        <v>20039597823</v>
      </c>
      <c r="G9" s="3">
        <f>balance!F25</f>
        <v>18909202022</v>
      </c>
      <c r="H9" s="3">
        <f>balance!G25</f>
        <v>19078628686</v>
      </c>
      <c r="I9" s="3">
        <f>balance!H25</f>
        <v>20153605835</v>
      </c>
      <c r="J9" s="3">
        <f>balance!I25</f>
        <v>18450256913</v>
      </c>
      <c r="K9" s="3">
        <f>balance!J25</f>
        <v>16310925095</v>
      </c>
      <c r="L9" s="3">
        <f>balance!K25</f>
        <v>14602656847</v>
      </c>
      <c r="M9" s="3">
        <f>balance!L25</f>
        <v>12043995724</v>
      </c>
    </row>
    <row r="10" ht="17.6" spans="1:13">
      <c r="A10" s="2" t="s">
        <v>38</v>
      </c>
      <c r="D10" s="3">
        <f>balance!C33</f>
        <v>27568613358</v>
      </c>
      <c r="E10" s="3">
        <f>balance!D33</f>
        <v>25219085168</v>
      </c>
      <c r="F10" s="3">
        <f>balance!E33</f>
        <v>21779200663</v>
      </c>
      <c r="G10" s="3">
        <f>balance!F33</f>
        <v>18490789663</v>
      </c>
      <c r="H10" s="3">
        <f>balance!G33</f>
        <v>16832717886</v>
      </c>
      <c r="I10" s="3">
        <f>balance!H33</f>
        <v>17457198085</v>
      </c>
      <c r="J10" s="3">
        <f>balance!I33</f>
        <v>14300566064</v>
      </c>
      <c r="K10" s="3">
        <f>balance!J33</f>
        <v>13123026239</v>
      </c>
      <c r="L10" s="3">
        <f>balance!K33</f>
        <v>11827299629</v>
      </c>
      <c r="M10" s="3">
        <f>balance!L33</f>
        <v>8411904960</v>
      </c>
    </row>
    <row r="11" spans="1:13">
      <c r="A11" s="7" t="s">
        <v>158</v>
      </c>
      <c r="D11" s="3">
        <f>balance!C39+balance!C38</f>
        <v>807312590</v>
      </c>
      <c r="E11" s="3">
        <f>balance!D39+balance!D38</f>
        <v>979067305</v>
      </c>
      <c r="F11" s="3">
        <f>balance!E39+balance!E38</f>
        <v>931585408</v>
      </c>
      <c r="G11" s="3">
        <f>balance!F39+balance!F38</f>
        <v>863737090</v>
      </c>
      <c r="H11" s="3">
        <f>balance!G39+balance!G38</f>
        <v>756282114</v>
      </c>
      <c r="I11" s="3">
        <f>balance!H39+balance!H38</f>
        <v>695400166</v>
      </c>
      <c r="J11" s="3">
        <f>balance!I39+balance!I38</f>
        <v>594503112</v>
      </c>
      <c r="K11" s="3">
        <f>balance!J39+balance!J38</f>
        <v>442282880</v>
      </c>
      <c r="L11" s="3">
        <f>balance!K39+balance!K38</f>
        <v>21435585</v>
      </c>
      <c r="M11" s="3">
        <f>balance!L39+balance!L38</f>
        <v>33985494</v>
      </c>
    </row>
    <row r="12" spans="1:13">
      <c r="A12" s="4" t="s">
        <v>159</v>
      </c>
      <c r="D12" s="3">
        <f>balance!C36+balance!C37</f>
        <v>5803094989</v>
      </c>
      <c r="E12" s="3">
        <f>balance!D36+balance!D37</f>
        <v>5522986739</v>
      </c>
      <c r="F12" s="3">
        <f>balance!E36+balance!E37</f>
        <v>4153709622</v>
      </c>
      <c r="G12" s="3">
        <f>balance!F36+balance!F37</f>
        <v>3148222805</v>
      </c>
      <c r="H12" s="3">
        <f>balance!G36+balance!G37</f>
        <v>2466005390</v>
      </c>
      <c r="I12" s="3">
        <f>balance!H36+balance!H37</f>
        <v>2097319605</v>
      </c>
      <c r="J12" s="3">
        <f>balance!I36+balance!I37</f>
        <v>2465349981</v>
      </c>
      <c r="K12" s="3">
        <f>balance!J36+balance!J37</f>
        <v>2401097118</v>
      </c>
      <c r="L12" s="3">
        <f>balance!K36+balance!K37</f>
        <v>1914202706</v>
      </c>
      <c r="M12" s="3">
        <f>balance!L36+balance!L37</f>
        <v>1369271977</v>
      </c>
    </row>
    <row r="13" spans="1:13">
      <c r="A13" s="4" t="s">
        <v>53</v>
      </c>
      <c r="D13" s="3">
        <f>balance!C49</f>
        <v>14995298574</v>
      </c>
      <c r="E13" s="3">
        <f>balance!D49</f>
        <v>14535923962</v>
      </c>
      <c r="F13" s="3">
        <f>balance!E49</f>
        <v>13012009563</v>
      </c>
      <c r="G13" s="3">
        <f>balance!F49</f>
        <v>11205647043</v>
      </c>
      <c r="H13" s="3">
        <f>balance!G49</f>
        <v>10434585123</v>
      </c>
      <c r="I13" s="3">
        <f>balance!H49</f>
        <v>11383469538</v>
      </c>
      <c r="J13" s="3">
        <f>balance!I49</f>
        <v>8403278932</v>
      </c>
      <c r="K13" s="3">
        <f>balance!J49</f>
        <v>7920456975</v>
      </c>
      <c r="L13" s="3">
        <f>balance!K49</f>
        <v>7260459140</v>
      </c>
      <c r="M13" s="3">
        <f>balance!L49</f>
        <v>4742619663</v>
      </c>
    </row>
    <row r="14" ht="17.6" spans="1:13">
      <c r="A14" s="2" t="s">
        <v>160</v>
      </c>
      <c r="B14" s="8"/>
      <c r="C14" s="8"/>
      <c r="D14" s="3">
        <f>balance!C60</f>
        <v>35685569178</v>
      </c>
      <c r="E14" s="3">
        <f>balance!D60</f>
        <v>31411322327</v>
      </c>
      <c r="F14" s="3">
        <f>balance!E60</f>
        <v>28988298128</v>
      </c>
      <c r="G14" s="3">
        <f>balance!F60</f>
        <v>26294104291</v>
      </c>
      <c r="H14" s="3">
        <f>balance!G60</f>
        <v>21590907298</v>
      </c>
      <c r="I14" s="3">
        <f>balance!H60</f>
        <v>21369081522</v>
      </c>
      <c r="J14" s="3">
        <f>balance!I60</f>
        <v>20189872606</v>
      </c>
      <c r="K14" s="3">
        <f>balance!J60</f>
        <v>18797871807</v>
      </c>
      <c r="L14" s="3">
        <f>balance!K60</f>
        <v>18038545794</v>
      </c>
      <c r="M14" s="3">
        <f>balance!L60</f>
        <v>16415066432</v>
      </c>
    </row>
    <row r="15" ht="17.6" spans="1:13">
      <c r="A15" s="9" t="s">
        <v>161</v>
      </c>
      <c r="D15" s="3">
        <f>balance!C61+balance!C62</f>
        <v>12310494456</v>
      </c>
      <c r="E15" s="3">
        <f>balance!D61+balance!D62</f>
        <v>12310494456</v>
      </c>
      <c r="F15" s="3">
        <f>balance!E61+balance!E62</f>
        <v>12310494456</v>
      </c>
      <c r="G15" s="3">
        <f>balance!F61+balance!F62</f>
        <v>12310494456</v>
      </c>
      <c r="H15" s="3">
        <f>balance!G61+balance!G62</f>
        <v>8731529967</v>
      </c>
      <c r="I15" s="3">
        <f>balance!H61+balance!H62</f>
        <v>8731695689</v>
      </c>
      <c r="J15" s="3">
        <f>balance!I61+balance!I62</f>
        <v>8731695689</v>
      </c>
      <c r="K15" s="3">
        <f>balance!J61+balance!J62</f>
        <v>8732750629</v>
      </c>
      <c r="L15" s="3">
        <f>balance!K61+balance!K62</f>
        <v>8737370629</v>
      </c>
      <c r="M15" s="3">
        <f>balance!L61+balance!L62</f>
        <v>8737549984</v>
      </c>
    </row>
    <row r="16" spans="1:13">
      <c r="A16" s="4" t="s">
        <v>67</v>
      </c>
      <c r="D16" s="3">
        <f>balance!C66</f>
        <v>18625997091</v>
      </c>
      <c r="E16" s="3">
        <f>balance!D66</f>
        <v>15007163446</v>
      </c>
      <c r="F16" s="3">
        <f>balance!E66</f>
        <v>12989794025</v>
      </c>
      <c r="G16" s="3">
        <f>balance!F66</f>
        <v>11245487054</v>
      </c>
      <c r="H16" s="3">
        <f>balance!G66</f>
        <v>10305548562</v>
      </c>
      <c r="I16" s="3">
        <f>balance!H66</f>
        <v>9828694828</v>
      </c>
      <c r="J16" s="3">
        <f>balance!I66</f>
        <v>9150322858</v>
      </c>
      <c r="K16" s="3">
        <f>balance!J66</f>
        <v>8352285561</v>
      </c>
      <c r="L16" s="3">
        <f>balance!K66</f>
        <v>7570889309</v>
      </c>
      <c r="M16" s="3">
        <f>balance!L66</f>
        <v>6599365793</v>
      </c>
    </row>
    <row r="17" spans="1:13">
      <c r="A17" s="10" t="s">
        <v>162</v>
      </c>
      <c r="D17" s="3">
        <f>balance!C71</f>
        <v>4697538357.6</v>
      </c>
      <c r="E17" s="3">
        <f>balance!D71</f>
        <v>3392666591.6</v>
      </c>
      <c r="F17" s="3">
        <f>balance!E71</f>
        <v>3262179415</v>
      </c>
      <c r="G17" s="3">
        <f>balance!F71</f>
        <v>2609743532</v>
      </c>
      <c r="H17" s="3">
        <f>balance!G71</f>
        <v>1957307649</v>
      </c>
      <c r="I17" s="3">
        <f>balance!H71</f>
        <v>1881463149</v>
      </c>
      <c r="J17" s="3">
        <f>balance!I71</f>
        <v>2884910162</v>
      </c>
      <c r="K17" s="3">
        <f>balance!J71</f>
        <v>1881463149</v>
      </c>
      <c r="L17" s="3">
        <f>balance!K71</f>
        <v>1881463149</v>
      </c>
      <c r="M17" s="3">
        <f>balance!L71</f>
        <v>1881463149</v>
      </c>
    </row>
    <row r="18" spans="1:13"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7.6" spans="1:13">
      <c r="A19" s="11" t="s">
        <v>163</v>
      </c>
      <c r="D19" s="3">
        <f t="shared" ref="D19:M19" si="0">D3</f>
        <v>20713712160</v>
      </c>
      <c r="E19" s="3">
        <f t="shared" si="0"/>
        <v>19838830944</v>
      </c>
      <c r="F19" s="3">
        <f t="shared" si="0"/>
        <v>18165180172</v>
      </c>
      <c r="G19" s="3">
        <f t="shared" si="0"/>
        <v>15447688808</v>
      </c>
      <c r="H19" s="3">
        <f t="shared" si="0"/>
        <v>10411885641</v>
      </c>
      <c r="I19" s="3">
        <f t="shared" si="0"/>
        <v>10001551003</v>
      </c>
      <c r="J19" s="3">
        <f t="shared" si="0"/>
        <v>6800777265</v>
      </c>
      <c r="K19" s="3">
        <f t="shared" si="0"/>
        <v>6833689446</v>
      </c>
      <c r="L19" s="3">
        <f t="shared" si="0"/>
        <v>7213130254</v>
      </c>
      <c r="M19" s="3">
        <f t="shared" si="0"/>
        <v>5918845168</v>
      </c>
    </row>
    <row r="20" spans="1:13">
      <c r="A20" s="5" t="s">
        <v>164</v>
      </c>
      <c r="D20" s="3">
        <f t="shared" ref="D20:M20" si="1">D16</f>
        <v>18625997091</v>
      </c>
      <c r="E20" s="3">
        <f t="shared" si="1"/>
        <v>15007163446</v>
      </c>
      <c r="F20" s="3">
        <f t="shared" si="1"/>
        <v>12989794025</v>
      </c>
      <c r="G20" s="3">
        <f t="shared" si="1"/>
        <v>11245487054</v>
      </c>
      <c r="H20" s="3">
        <f t="shared" si="1"/>
        <v>10305548562</v>
      </c>
      <c r="I20" s="3">
        <f t="shared" si="1"/>
        <v>9828694828</v>
      </c>
      <c r="J20" s="3">
        <f t="shared" si="1"/>
        <v>9150322858</v>
      </c>
      <c r="K20" s="3">
        <f t="shared" si="1"/>
        <v>8352285561</v>
      </c>
      <c r="L20" s="3">
        <f t="shared" si="1"/>
        <v>7570889309</v>
      </c>
      <c r="M20" s="3">
        <f t="shared" si="1"/>
        <v>6599365793</v>
      </c>
    </row>
    <row r="21" spans="1:13">
      <c r="A21" s="5" t="s">
        <v>165</v>
      </c>
      <c r="D21" s="3">
        <f>D19-D20</f>
        <v>2087715069</v>
      </c>
      <c r="E21" s="3">
        <f t="shared" ref="E21:M21" si="2">E19-E20</f>
        <v>4831667498</v>
      </c>
      <c r="F21" s="3">
        <f t="shared" si="2"/>
        <v>5175386147</v>
      </c>
      <c r="G21" s="3">
        <f t="shared" si="2"/>
        <v>4202201754</v>
      </c>
      <c r="H21" s="3">
        <f t="shared" si="2"/>
        <v>106337079</v>
      </c>
      <c r="I21" s="3">
        <f t="shared" si="2"/>
        <v>172856175</v>
      </c>
      <c r="J21" s="3">
        <f t="shared" si="2"/>
        <v>-2349545593</v>
      </c>
      <c r="K21" s="3">
        <f t="shared" si="2"/>
        <v>-1518596115</v>
      </c>
      <c r="L21" s="3">
        <f t="shared" si="2"/>
        <v>-357759055</v>
      </c>
      <c r="M21" s="3">
        <f t="shared" si="2"/>
        <v>-680520625</v>
      </c>
    </row>
    <row r="22" spans="1:13"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7.6" spans="1:13">
      <c r="A23" s="2" t="s">
        <v>166</v>
      </c>
      <c r="D23" s="3">
        <f>SUM(损益现金流!B38:B41)</f>
        <v>2727498647</v>
      </c>
      <c r="E23" s="3">
        <f>SUM(损益现金流!C38:C41)</f>
        <v>2522443359</v>
      </c>
      <c r="F23" s="3">
        <f>SUM(损益现金流!D38:D41)</f>
        <v>2345067457</v>
      </c>
      <c r="G23" s="3">
        <f>SUM(损益现金流!E38:E41)</f>
        <v>2251652666</v>
      </c>
      <c r="H23" s="3">
        <f>SUM(损益现金流!F38:F41)</f>
        <v>2242004968</v>
      </c>
      <c r="I23" s="3">
        <f>SUM(损益现金流!G38:G41)</f>
        <v>2130158309</v>
      </c>
      <c r="J23" s="3">
        <f>SUM(损益现金流!H38:H41)</f>
        <v>1687167602</v>
      </c>
      <c r="K23" s="3">
        <f>SUM(损益现金流!I38:I41)</f>
        <v>1398392498</v>
      </c>
      <c r="L23" s="3">
        <f>SUM(损益现金流!J38:J41)</f>
        <v>1254667862</v>
      </c>
      <c r="M23" s="3">
        <f>SUM(损益现金流!K38:K41)</f>
        <v>1031900411</v>
      </c>
    </row>
    <row r="24" ht="17.6" spans="1:13">
      <c r="A24" s="2" t="s">
        <v>167</v>
      </c>
      <c r="D24" s="3">
        <f>损益现金流!B72</f>
        <v>5480872166</v>
      </c>
      <c r="E24" s="3">
        <f>损益现金流!C72</f>
        <v>4474711099</v>
      </c>
      <c r="F24" s="3">
        <f>损益现金流!D72</f>
        <v>3130253387</v>
      </c>
      <c r="G24" s="3">
        <f>损益现金流!E72</f>
        <v>2328511864</v>
      </c>
      <c r="H24" s="3">
        <f>损益现金流!F72</f>
        <v>1772542963</v>
      </c>
      <c r="I24" s="3">
        <f>损益现金流!G72</f>
        <v>2779502262</v>
      </c>
      <c r="J24" s="3">
        <f>损益现金流!H72</f>
        <v>3591741242</v>
      </c>
      <c r="K24" s="3">
        <f>损益现金流!I72</f>
        <v>3589995076</v>
      </c>
      <c r="L24" s="3">
        <f>损益现金流!J72</f>
        <v>3567561244</v>
      </c>
      <c r="M24" s="3">
        <f>损益现金流!K72</f>
        <v>3255541569</v>
      </c>
    </row>
    <row r="25" ht="17.6" spans="1:13">
      <c r="A25" s="2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7.6" spans="1:13">
      <c r="A26" s="2" t="s">
        <v>168</v>
      </c>
      <c r="B26" s="8">
        <f>D26</f>
        <v>2609743532</v>
      </c>
      <c r="C26" s="8">
        <f>D26</f>
        <v>2609743532</v>
      </c>
      <c r="D26" s="3">
        <f>balance!C61</f>
        <v>2609743532</v>
      </c>
      <c r="E26" s="3">
        <f>balance!D61</f>
        <v>2609743532</v>
      </c>
      <c r="F26" s="3">
        <f>balance!E61</f>
        <v>2609743532</v>
      </c>
      <c r="G26" s="3">
        <f>balance!F61</f>
        <v>2609743532</v>
      </c>
      <c r="H26" s="3">
        <f>balance!G61</f>
        <v>2508617532</v>
      </c>
      <c r="I26" s="3">
        <f>balance!H61</f>
        <v>2508617532</v>
      </c>
      <c r="J26" s="3">
        <f>balance!I61</f>
        <v>2508617532</v>
      </c>
      <c r="K26" s="3">
        <f>balance!J61</f>
        <v>2508617532</v>
      </c>
      <c r="L26" s="3">
        <f>balance!K61</f>
        <v>2508617532</v>
      </c>
      <c r="M26" s="3">
        <f>balance!L61</f>
        <v>2508617532</v>
      </c>
    </row>
    <row r="27" ht="17.6" spans="1:13">
      <c r="A27" s="2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7.6" spans="1:13">
      <c r="A28" s="11" t="s">
        <v>169</v>
      </c>
      <c r="D28" s="3">
        <f>收入成本!B3</f>
        <v>38710428679</v>
      </c>
      <c r="E28" s="3">
        <f>收入成本!C3</f>
        <v>32650176898</v>
      </c>
      <c r="F28" s="3">
        <f>收入成本!D3</f>
        <v>27650978801</v>
      </c>
      <c r="G28" s="3">
        <f>收入成本!E3</f>
        <v>23261134069</v>
      </c>
      <c r="H28" s="3">
        <f>收入成本!F3</f>
        <v>19641289272</v>
      </c>
      <c r="I28" s="3">
        <f>收入成本!G3</f>
        <v>20765088255</v>
      </c>
      <c r="J28" s="3">
        <f>收入成本!H3</f>
        <v>19883838974</v>
      </c>
      <c r="K28" s="3">
        <f>收入成本!I3</f>
        <v>18190913985</v>
      </c>
      <c r="L28" s="3">
        <f>收入成本!J3</f>
        <v>16290566904</v>
      </c>
      <c r="M28" s="3">
        <f>收入成本!K3</f>
        <v>13272702952</v>
      </c>
    </row>
    <row r="29" spans="1:13">
      <c r="A29" s="4" t="s">
        <v>170</v>
      </c>
      <c r="D29" s="3">
        <f>收入成本!B8</f>
        <v>24922427939</v>
      </c>
      <c r="E29" s="3">
        <f>收入成本!C8</f>
        <v>21310091980</v>
      </c>
      <c r="F29" s="3">
        <f>收入成本!D8</f>
        <v>18410110199</v>
      </c>
      <c r="G29" s="3">
        <f>收入成本!E8</f>
        <v>15039848812</v>
      </c>
      <c r="H29" s="3">
        <f>收入成本!F8</f>
        <v>11944882127</v>
      </c>
      <c r="I29" s="3">
        <f>收入成本!G8</f>
        <v>13060926884</v>
      </c>
      <c r="J29" s="3">
        <f>收入成本!H8</f>
        <v>11488667084</v>
      </c>
      <c r="K29" s="3">
        <f>收入成本!I8</f>
        <v>10484369082</v>
      </c>
      <c r="L29" s="3">
        <f>收入成本!J8</f>
        <v>9329573724</v>
      </c>
      <c r="M29" s="3">
        <f>收入成本!K8</f>
        <v>7696406162</v>
      </c>
    </row>
    <row r="30" spans="1:13">
      <c r="A30" s="4" t="s">
        <v>171</v>
      </c>
      <c r="D30" s="3">
        <f>SUM(损益现金流!B5:B8)</f>
        <v>6032289023</v>
      </c>
      <c r="E30" s="3">
        <f>SUM(损益现金流!C5:C8)</f>
        <v>5667759562</v>
      </c>
      <c r="F30" s="3">
        <f>SUM(损益现金流!D5:D8)</f>
        <v>4967587622</v>
      </c>
      <c r="G30" s="3">
        <f>SUM(损益现金流!E5:E8)</f>
        <v>4297003585</v>
      </c>
      <c r="H30" s="3">
        <f>SUM(损益现金流!F5:F8)</f>
        <v>4564753107</v>
      </c>
      <c r="I30" s="3">
        <f>SUM(损益现金流!G5:G8)</f>
        <v>4677876806</v>
      </c>
      <c r="J30" s="3">
        <f>SUM(损益现金流!H5:H8)</f>
        <v>4621537694</v>
      </c>
      <c r="K30" s="3">
        <f>SUM(损益现金流!I5:I8)</f>
        <v>4075393078</v>
      </c>
      <c r="L30" s="3">
        <f>SUM(损益现金流!J5:J8)</f>
        <v>3751102913</v>
      </c>
      <c r="M30" s="3">
        <f>SUM(损益现金流!K5:K8)</f>
        <v>3006403460</v>
      </c>
    </row>
    <row r="31" spans="1:13">
      <c r="A31" s="5" t="s">
        <v>76</v>
      </c>
      <c r="D31" s="3">
        <f>损益现金流!B8</f>
        <v>1677751298</v>
      </c>
      <c r="E31" s="3">
        <f>损益现金流!C8</f>
        <v>1403030121</v>
      </c>
      <c r="F31" s="3">
        <f>损益现金流!D8</f>
        <v>1248592812</v>
      </c>
      <c r="G31" s="3">
        <f>损益现金流!E8</f>
        <v>997203019</v>
      </c>
      <c r="H31" s="3">
        <f>损益现金流!F8</f>
        <v>815579258</v>
      </c>
      <c r="I31" s="3">
        <f>损益现金流!G8</f>
        <v>813129835</v>
      </c>
      <c r="J31" s="3">
        <f>损益现金流!H8</f>
        <v>887721987</v>
      </c>
      <c r="K31" s="3">
        <f>损益现金流!I8</f>
        <v>803441192</v>
      </c>
      <c r="L31" s="3">
        <f>损益现金流!J8</f>
        <v>0</v>
      </c>
      <c r="M31" s="3">
        <f>损益现金流!K8</f>
        <v>0</v>
      </c>
    </row>
    <row r="32" spans="1:13">
      <c r="A32" s="5" t="s">
        <v>74</v>
      </c>
      <c r="D32" s="3">
        <f>损益现金流!B6</f>
        <v>1180260909</v>
      </c>
      <c r="E32" s="3">
        <f>损益现金流!C6</f>
        <v>1538783486</v>
      </c>
      <c r="F32" s="3">
        <f>损益现金流!D6</f>
        <v>1350721298</v>
      </c>
      <c r="G32" s="3">
        <f>损益现金流!E6</f>
        <v>1150992397</v>
      </c>
      <c r="H32" s="3">
        <f>损益现金流!F6</f>
        <v>1474366072</v>
      </c>
      <c r="I32" s="3">
        <f>损益现金流!G6</f>
        <v>1481567161</v>
      </c>
      <c r="J32" s="3">
        <f>损益现金流!H6</f>
        <v>1467671276</v>
      </c>
      <c r="K32" s="3">
        <f>损益现金流!I6</f>
        <v>1274308845</v>
      </c>
      <c r="L32" s="3">
        <f>损益现金流!J6</f>
        <v>1184740033</v>
      </c>
      <c r="M32" s="3">
        <f>损益现金流!K6</f>
        <v>1020584621</v>
      </c>
    </row>
    <row r="33" spans="1:13">
      <c r="A33" s="5" t="s">
        <v>75</v>
      </c>
      <c r="D33" s="3">
        <f>损益现金流!B7</f>
        <v>2888289768</v>
      </c>
      <c r="E33" s="3">
        <f>损益现金流!C7</f>
        <v>2486049334</v>
      </c>
      <c r="F33" s="3">
        <f>损益现金流!D7</f>
        <v>2142932036</v>
      </c>
      <c r="G33" s="3">
        <f>损益现金流!E7</f>
        <v>1944179027</v>
      </c>
      <c r="H33" s="3">
        <f>损益现金流!F7</f>
        <v>2076624937</v>
      </c>
      <c r="I33" s="3">
        <f>损益现金流!G7</f>
        <v>2185363063</v>
      </c>
      <c r="J33" s="3">
        <f>损益现金流!H7</f>
        <v>2063072209</v>
      </c>
      <c r="K33" s="3">
        <f>损益现金流!I7</f>
        <v>1797379424</v>
      </c>
      <c r="L33" s="3">
        <f>损益现金流!J7</f>
        <v>2392097806</v>
      </c>
      <c r="M33" s="3">
        <f>损益现金流!K7</f>
        <v>1873364984</v>
      </c>
    </row>
    <row r="34" spans="1:13">
      <c r="A34" s="4" t="s">
        <v>172</v>
      </c>
      <c r="D34" s="3">
        <f>SUM(损益现金流!B11:B13)</f>
        <v>-98548679</v>
      </c>
      <c r="E34" s="3">
        <f>SUM(损益现金流!C11:C13)</f>
        <v>-220776671</v>
      </c>
      <c r="F34" s="3">
        <f>SUM(损益现金流!D11:D13)</f>
        <v>-150481522</v>
      </c>
      <c r="G34" s="3">
        <f>SUM(损益现金流!E11:E13)</f>
        <v>-23928049</v>
      </c>
      <c r="H34" s="3">
        <f>SUM(损益现金流!F11:F13)</f>
        <v>38157119</v>
      </c>
      <c r="I34" s="3">
        <f>SUM(损益现金流!G11:G13)</f>
        <v>-20103858</v>
      </c>
      <c r="J34" s="3">
        <f>SUM(损益现金流!H11:H13)</f>
        <v>-51746308</v>
      </c>
      <c r="K34" s="3">
        <f>SUM(损益现金流!I11:I13)</f>
        <v>-31328690</v>
      </c>
      <c r="L34" s="3">
        <f>SUM(损益现金流!J11:J13)</f>
        <v>-11224597</v>
      </c>
      <c r="M34" s="3">
        <f>SUM(损益现金流!K11:K13)</f>
        <v>-11540935</v>
      </c>
    </row>
    <row r="35" spans="1:13">
      <c r="A35" s="10" t="s">
        <v>77</v>
      </c>
      <c r="D35" s="3">
        <f>损益现金流!B10</f>
        <v>400415185</v>
      </c>
      <c r="E35" s="3">
        <f>损益现金流!C10</f>
        <v>262917177</v>
      </c>
      <c r="F35" s="3">
        <f>损益现金流!D10</f>
        <v>215071387</v>
      </c>
      <c r="G35" s="3">
        <f>损益现金流!E10</f>
        <v>242337506</v>
      </c>
      <c r="H35" s="3">
        <f>损益现金流!F10</f>
        <v>352820556</v>
      </c>
      <c r="I35" s="3">
        <f>损益现金流!G10</f>
        <v>181754102</v>
      </c>
      <c r="J35" s="3">
        <f>损益现金流!H10</f>
        <v>146750220</v>
      </c>
      <c r="K35" s="3">
        <f>损益现金流!I10</f>
        <v>190690589</v>
      </c>
      <c r="L35" s="3">
        <f>损益现金流!J10</f>
        <v>0</v>
      </c>
      <c r="M35" s="3">
        <f>损益现金流!K10</f>
        <v>0</v>
      </c>
    </row>
    <row r="36" spans="1:13">
      <c r="A36" s="10" t="s">
        <v>173</v>
      </c>
      <c r="D36" s="3">
        <f>损益现金流!B20</f>
        <v>924966003</v>
      </c>
      <c r="E36" s="3">
        <f>损益现金流!C20</f>
        <v>602544066</v>
      </c>
      <c r="F36" s="3">
        <f>损益现金流!D20</f>
        <v>231495735</v>
      </c>
      <c r="G36" s="3">
        <f>损益现金流!E20</f>
        <v>195413923</v>
      </c>
      <c r="H36" s="3">
        <f>损益现金流!F20</f>
        <v>348762592</v>
      </c>
      <c r="I36" s="3">
        <f>损益现金流!G20</f>
        <v>336984661</v>
      </c>
      <c r="J36" s="3">
        <f>损益现金流!H20</f>
        <v>335452093</v>
      </c>
      <c r="K36" s="3">
        <f>损益现金流!I20</f>
        <v>137540567</v>
      </c>
      <c r="L36" s="3">
        <f>损益现金流!J20</f>
        <v>109354187</v>
      </c>
      <c r="M36" s="3">
        <f>损益现金流!K20</f>
        <v>16915996</v>
      </c>
    </row>
    <row r="37" spans="1:13">
      <c r="A37" s="10" t="s">
        <v>174</v>
      </c>
      <c r="D37" s="3">
        <f>损益现金流!B25</f>
        <v>-15801862</v>
      </c>
      <c r="E37" s="3">
        <f>损益现金流!C25</f>
        <v>4290148</v>
      </c>
      <c r="F37" s="3">
        <f>损益现金流!D25</f>
        <v>20962737</v>
      </c>
      <c r="G37" s="3">
        <f>损益现金流!E25</f>
        <v>26975045</v>
      </c>
      <c r="H37" s="3">
        <f>损益现金流!F25</f>
        <v>11843754</v>
      </c>
      <c r="I37" s="3">
        <f>损益现金流!G25</f>
        <v>-5932899</v>
      </c>
      <c r="J37" s="3">
        <f>损益现金流!H25</f>
        <v>667776495</v>
      </c>
      <c r="K37" s="3">
        <f>损益现金流!I25</f>
        <v>23390958</v>
      </c>
      <c r="L37" s="3">
        <f>损益现金流!J25</f>
        <v>41956332</v>
      </c>
      <c r="M37" s="3">
        <f>损益现金流!K25</f>
        <v>23781843</v>
      </c>
    </row>
    <row r="38" spans="1:13">
      <c r="A38" s="10" t="s">
        <v>91</v>
      </c>
      <c r="D38">
        <f>损益现金流!B31</f>
        <v>288507082</v>
      </c>
      <c r="E38">
        <f>损益现金流!C31</f>
        <v>288319603</v>
      </c>
      <c r="F38">
        <f>损益现金流!D31</f>
        <v>288122259</v>
      </c>
      <c r="G38">
        <f>损益现金流!E31</f>
        <v>318940791</v>
      </c>
      <c r="H38">
        <f>损益现金流!F31</f>
        <v>354752403</v>
      </c>
      <c r="I38">
        <f>损益现金流!G31</f>
        <v>432679520</v>
      </c>
      <c r="J38">
        <f>损益现金流!H31</f>
        <v>376230473</v>
      </c>
      <c r="K38">
        <f>损益现金流!I31</f>
        <v>182373020</v>
      </c>
      <c r="L38">
        <f>损益现金流!J31</f>
        <v>157713120</v>
      </c>
      <c r="M38">
        <f>损益现金流!K31</f>
        <v>190512029</v>
      </c>
    </row>
    <row r="39" spans="1:13">
      <c r="A39" s="10" t="s">
        <v>92</v>
      </c>
      <c r="D39">
        <f>损益现金流!B32</f>
        <v>35964048</v>
      </c>
      <c r="E39">
        <f>损益现金流!C32</f>
        <v>-361719066</v>
      </c>
      <c r="F39">
        <f>损益现金流!D32</f>
        <v>-1036725297</v>
      </c>
      <c r="G39">
        <f>损益现金流!E32</f>
        <v>536834250</v>
      </c>
      <c r="H39">
        <f>损益现金流!F32</f>
        <v>429822814</v>
      </c>
      <c r="I39">
        <f>损益现金流!G32</f>
        <v>-127469129</v>
      </c>
      <c r="J39">
        <f>损益现金流!H32</f>
        <v>-250823052</v>
      </c>
      <c r="K39">
        <f>损益现金流!I32</f>
        <v>393023828</v>
      </c>
      <c r="L39">
        <f>损益现金流!J32</f>
        <v>-450568057</v>
      </c>
      <c r="M39">
        <f>损益现金流!K32</f>
        <v>-459846707</v>
      </c>
    </row>
    <row r="40" spans="1:13">
      <c r="A40" s="10" t="s">
        <v>150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>
      <c r="A41" s="4" t="s">
        <v>146</v>
      </c>
      <c r="D41" s="3">
        <f>收入成本!B17</f>
        <v>541228588</v>
      </c>
      <c r="E41" s="3">
        <f>收入成本!C17</f>
        <v>510819743</v>
      </c>
      <c r="F41" s="3">
        <f>收入成本!D17</f>
        <v>447775365</v>
      </c>
      <c r="G41" s="3">
        <f>收入成本!E17</f>
        <v>341929292</v>
      </c>
      <c r="H41" s="3">
        <f>收入成本!F17</f>
        <v>265304196</v>
      </c>
      <c r="I41" s="3">
        <f>收入成本!G17</f>
        <v>338789268</v>
      </c>
      <c r="J41" s="3">
        <f>收入成本!H17</f>
        <v>341146746</v>
      </c>
      <c r="K41" s="3">
        <f>收入成本!I17</f>
        <v>522120989</v>
      </c>
      <c r="L41" s="3">
        <f>收入成本!J17</f>
        <v>330769369</v>
      </c>
      <c r="M41" s="3">
        <f>收入成本!K17</f>
        <v>300792103</v>
      </c>
    </row>
    <row r="42" spans="1:13">
      <c r="A42" s="4" t="s">
        <v>71</v>
      </c>
      <c r="D42" s="3">
        <f>收入成本!B18</f>
        <v>108449502</v>
      </c>
      <c r="E42" s="3">
        <f>收入成本!C18</f>
        <v>114234160</v>
      </c>
      <c r="F42" s="3">
        <f>收入成本!D18</f>
        <v>125334935</v>
      </c>
      <c r="G42" s="3">
        <f>收入成本!E18</f>
        <v>89204424</v>
      </c>
      <c r="H42" s="3">
        <f>收入成本!F18</f>
        <v>97335416</v>
      </c>
      <c r="I42" s="3">
        <f>收入成本!G18</f>
        <v>136627509</v>
      </c>
      <c r="J42" s="3">
        <f>收入成本!H18</f>
        <v>114387863</v>
      </c>
      <c r="K42" s="3">
        <f>收入成本!I18</f>
        <v>228242734</v>
      </c>
      <c r="L42" s="3">
        <f>收入成本!J18</f>
        <v>133740207</v>
      </c>
      <c r="M42" s="3">
        <f>收入成本!K18</f>
        <v>117937075</v>
      </c>
    </row>
    <row r="43" ht="17.6" spans="1:13">
      <c r="A43" s="2" t="s">
        <v>175</v>
      </c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>
      <c r="A44" s="4" t="s">
        <v>146</v>
      </c>
      <c r="D44" s="3">
        <f>损益现金流!B15</f>
        <v>35905331</v>
      </c>
      <c r="E44" s="3">
        <f>损益现金流!C15</f>
        <v>49843149</v>
      </c>
      <c r="F44" s="3">
        <f>损益现金流!D15</f>
        <v>80855034</v>
      </c>
      <c r="G44" s="3">
        <f>损益现金流!E15</f>
        <v>217974835</v>
      </c>
      <c r="H44" s="3">
        <f>损益现金流!F15</f>
        <v>57628048</v>
      </c>
      <c r="I44" s="3">
        <f>损益现金流!G15</f>
        <v>109494454</v>
      </c>
      <c r="J44" s="3">
        <f>损益现金流!H15</f>
        <v>60687441</v>
      </c>
      <c r="K44" s="3">
        <f>损益现金流!I15</f>
        <v>27172108</v>
      </c>
      <c r="L44" s="3">
        <f>损益现金流!J15</f>
        <v>115204091</v>
      </c>
      <c r="M44" s="3">
        <f>损益现金流!K15</f>
        <v>129935252</v>
      </c>
    </row>
    <row r="45" spans="1:13">
      <c r="A45" s="4" t="s">
        <v>71</v>
      </c>
      <c r="D45" s="3">
        <f>损益现金流!B16</f>
        <v>120136061</v>
      </c>
      <c r="E45" s="3">
        <f>损益现金流!C16</f>
        <v>125106357</v>
      </c>
      <c r="F45" s="3">
        <f>损益现金流!D16</f>
        <v>163122132</v>
      </c>
      <c r="G45" s="3">
        <f>损益现金流!E16</f>
        <v>161162665</v>
      </c>
      <c r="H45" s="3">
        <f>损益现金流!F16</f>
        <v>214664627</v>
      </c>
      <c r="I45" s="3">
        <f>损益现金流!G16</f>
        <v>294294341</v>
      </c>
      <c r="J45" s="3">
        <f>损益现金流!H16</f>
        <v>71545321</v>
      </c>
      <c r="K45" s="3">
        <f>损益现金流!I16</f>
        <v>17376997</v>
      </c>
      <c r="L45" s="3">
        <f>损益现金流!J16</f>
        <v>35438675</v>
      </c>
      <c r="M45" s="3">
        <f>损益现金流!K16</f>
        <v>138450464</v>
      </c>
    </row>
    <row r="46" spans="1:13">
      <c r="A46" s="10" t="s">
        <v>93</v>
      </c>
      <c r="D46" s="3">
        <f>损益现金流!B33</f>
        <v>1486781220</v>
      </c>
      <c r="E46" s="3">
        <f>损益现金流!C33</f>
        <v>1086913641</v>
      </c>
      <c r="F46" s="3">
        <f>损益现金流!D33</f>
        <v>826310042</v>
      </c>
      <c r="G46" s="3">
        <f>损益现金流!E33</f>
        <v>675861301</v>
      </c>
      <c r="H46" s="3">
        <f>损益现金流!F33</f>
        <v>511144107</v>
      </c>
      <c r="I46" s="3">
        <f>损益现金流!G33</f>
        <v>332955880</v>
      </c>
      <c r="J46" s="3">
        <f>损益现金流!H33</f>
        <v>855187629</v>
      </c>
      <c r="K46" s="3">
        <f>损益现金流!I33</f>
        <v>531479253</v>
      </c>
      <c r="L46" s="3">
        <f>损益现金流!J33</f>
        <v>776909142</v>
      </c>
      <c r="M46" s="3">
        <f>损益现金流!K33</f>
        <v>435226131</v>
      </c>
    </row>
    <row r="47" ht="17.6" spans="1:13">
      <c r="A47" s="11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7.6" spans="1:13">
      <c r="A48" s="11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>
      <c r="A49" s="13" t="s">
        <v>176</v>
      </c>
      <c r="D49" s="14"/>
      <c r="E49" s="12"/>
      <c r="F49" s="12"/>
      <c r="G49" s="12"/>
      <c r="H49" s="12"/>
      <c r="I49" s="12"/>
      <c r="J49" s="12"/>
      <c r="K49" s="12"/>
      <c r="L49" s="12"/>
      <c r="M49" s="12"/>
    </row>
    <row r="50" spans="1:13">
      <c r="A50" s="15" t="s">
        <v>169</v>
      </c>
      <c r="B50" s="16"/>
      <c r="C50" s="16"/>
      <c r="D50" s="17">
        <f>D28</f>
        <v>38710428679</v>
      </c>
      <c r="E50" s="17">
        <f t="shared" ref="E50:M50" si="3">E28</f>
        <v>32650176898</v>
      </c>
      <c r="F50" s="17">
        <f t="shared" si="3"/>
        <v>27650978801</v>
      </c>
      <c r="G50" s="17">
        <f t="shared" si="3"/>
        <v>23261134069</v>
      </c>
      <c r="H50" s="17">
        <f t="shared" si="3"/>
        <v>19641289272</v>
      </c>
      <c r="I50" s="17">
        <f t="shared" si="3"/>
        <v>20765088255</v>
      </c>
      <c r="J50" s="17">
        <f t="shared" si="3"/>
        <v>19883838974</v>
      </c>
      <c r="K50" s="17">
        <f t="shared" si="3"/>
        <v>18190913985</v>
      </c>
      <c r="L50" s="17">
        <f t="shared" si="3"/>
        <v>16290566904</v>
      </c>
      <c r="M50" s="17">
        <f t="shared" si="3"/>
        <v>13272702952</v>
      </c>
    </row>
    <row r="51" spans="1:13">
      <c r="A51" s="5" t="s">
        <v>170</v>
      </c>
      <c r="D51" s="8">
        <f>D29</f>
        <v>24922427939</v>
      </c>
      <c r="E51" s="8">
        <f t="shared" ref="E51:M51" si="4">E29</f>
        <v>21310091980</v>
      </c>
      <c r="F51" s="8">
        <f t="shared" si="4"/>
        <v>18410110199</v>
      </c>
      <c r="G51" s="8">
        <f t="shared" si="4"/>
        <v>15039848812</v>
      </c>
      <c r="H51" s="8">
        <f t="shared" si="4"/>
        <v>11944882127</v>
      </c>
      <c r="I51" s="8">
        <f t="shared" si="4"/>
        <v>13060926884</v>
      </c>
      <c r="J51" s="8">
        <f t="shared" si="4"/>
        <v>11488667084</v>
      </c>
      <c r="K51" s="8">
        <f t="shared" si="4"/>
        <v>10484369082</v>
      </c>
      <c r="L51" s="8">
        <f t="shared" si="4"/>
        <v>9329573724</v>
      </c>
      <c r="M51" s="8">
        <f t="shared" si="4"/>
        <v>7696406162</v>
      </c>
    </row>
    <row r="52" spans="1:13">
      <c r="A52" s="5" t="s">
        <v>171</v>
      </c>
      <c r="D52" s="18">
        <f>D30</f>
        <v>6032289023</v>
      </c>
      <c r="E52" s="18">
        <f t="shared" ref="E52:M52" si="5">E30</f>
        <v>5667759562</v>
      </c>
      <c r="F52" s="18">
        <f t="shared" si="5"/>
        <v>4967587622</v>
      </c>
      <c r="G52" s="18">
        <f t="shared" si="5"/>
        <v>4297003585</v>
      </c>
      <c r="H52" s="18">
        <f t="shared" si="5"/>
        <v>4564753107</v>
      </c>
      <c r="I52" s="18">
        <f t="shared" si="5"/>
        <v>4677876806</v>
      </c>
      <c r="J52" s="18">
        <f t="shared" si="5"/>
        <v>4621537694</v>
      </c>
      <c r="K52" s="18">
        <f t="shared" si="5"/>
        <v>4075393078</v>
      </c>
      <c r="L52" s="18">
        <f t="shared" si="5"/>
        <v>3751102913</v>
      </c>
      <c r="M52" s="18">
        <f t="shared" si="5"/>
        <v>3006403460</v>
      </c>
    </row>
    <row r="53" spans="1:13">
      <c r="A53" s="5" t="s">
        <v>172</v>
      </c>
      <c r="D53" s="18">
        <f>D34</f>
        <v>-98548679</v>
      </c>
      <c r="E53" s="18">
        <f t="shared" ref="E53:M53" si="6">E34</f>
        <v>-220776671</v>
      </c>
      <c r="F53" s="18">
        <f t="shared" si="6"/>
        <v>-150481522</v>
      </c>
      <c r="G53" s="18">
        <f t="shared" si="6"/>
        <v>-23928049</v>
      </c>
      <c r="H53" s="18">
        <f t="shared" si="6"/>
        <v>38157119</v>
      </c>
      <c r="I53" s="18">
        <f t="shared" si="6"/>
        <v>-20103858</v>
      </c>
      <c r="J53" s="18">
        <f t="shared" si="6"/>
        <v>-51746308</v>
      </c>
      <c r="K53" s="18">
        <f t="shared" si="6"/>
        <v>-31328690</v>
      </c>
      <c r="L53" s="18">
        <f t="shared" si="6"/>
        <v>-11224597</v>
      </c>
      <c r="M53" s="18">
        <f t="shared" si="6"/>
        <v>-11540935</v>
      </c>
    </row>
    <row r="54" spans="1:13">
      <c r="A54" s="5" t="s">
        <v>77</v>
      </c>
      <c r="D54" s="18">
        <f>D35</f>
        <v>400415185</v>
      </c>
      <c r="E54" s="18">
        <f t="shared" ref="E54:M54" si="7">E35</f>
        <v>262917177</v>
      </c>
      <c r="F54" s="18">
        <f t="shared" si="7"/>
        <v>215071387</v>
      </c>
      <c r="G54" s="18">
        <f t="shared" si="7"/>
        <v>242337506</v>
      </c>
      <c r="H54" s="18">
        <f t="shared" si="7"/>
        <v>352820556</v>
      </c>
      <c r="I54" s="18">
        <f t="shared" si="7"/>
        <v>181754102</v>
      </c>
      <c r="J54" s="18">
        <f t="shared" si="7"/>
        <v>146750220</v>
      </c>
      <c r="K54" s="18">
        <f t="shared" si="7"/>
        <v>190690589</v>
      </c>
      <c r="L54" s="18">
        <f t="shared" si="7"/>
        <v>0</v>
      </c>
      <c r="M54" s="18">
        <f t="shared" si="7"/>
        <v>0</v>
      </c>
    </row>
    <row r="55" spans="1:13">
      <c r="A55" s="5" t="s">
        <v>173</v>
      </c>
      <c r="D55" s="18">
        <f>D36</f>
        <v>924966003</v>
      </c>
      <c r="E55" s="18">
        <f t="shared" ref="E55:M55" si="8">E36</f>
        <v>602544066</v>
      </c>
      <c r="F55" s="18">
        <f t="shared" si="8"/>
        <v>231495735</v>
      </c>
      <c r="G55" s="18">
        <f t="shared" si="8"/>
        <v>195413923</v>
      </c>
      <c r="H55" s="18">
        <f t="shared" si="8"/>
        <v>348762592</v>
      </c>
      <c r="I55" s="18">
        <f t="shared" si="8"/>
        <v>336984661</v>
      </c>
      <c r="J55" s="18">
        <f t="shared" si="8"/>
        <v>335452093</v>
      </c>
      <c r="K55" s="18">
        <f t="shared" si="8"/>
        <v>137540567</v>
      </c>
      <c r="L55" s="18">
        <f t="shared" si="8"/>
        <v>109354187</v>
      </c>
      <c r="M55" s="18">
        <f t="shared" si="8"/>
        <v>16915996</v>
      </c>
    </row>
    <row r="56" spans="1:13">
      <c r="A56" s="5" t="s">
        <v>91</v>
      </c>
      <c r="D56" s="18">
        <f>D38</f>
        <v>288507082</v>
      </c>
      <c r="E56" s="18">
        <f t="shared" ref="E56:M56" si="9">E38</f>
        <v>288319603</v>
      </c>
      <c r="F56" s="18">
        <f t="shared" si="9"/>
        <v>288122259</v>
      </c>
      <c r="G56" s="18">
        <f t="shared" si="9"/>
        <v>318940791</v>
      </c>
      <c r="H56" s="18">
        <f t="shared" si="9"/>
        <v>354752403</v>
      </c>
      <c r="I56" s="18">
        <f t="shared" si="9"/>
        <v>432679520</v>
      </c>
      <c r="J56" s="18">
        <f t="shared" si="9"/>
        <v>376230473</v>
      </c>
      <c r="K56" s="18">
        <f t="shared" si="9"/>
        <v>182373020</v>
      </c>
      <c r="L56" s="18">
        <f t="shared" si="9"/>
        <v>157713120</v>
      </c>
      <c r="M56" s="18">
        <f t="shared" si="9"/>
        <v>190512029</v>
      </c>
    </row>
    <row r="57" spans="1:13">
      <c r="A57" s="5" t="s">
        <v>92</v>
      </c>
      <c r="D57" s="18">
        <f>D39</f>
        <v>35964048</v>
      </c>
      <c r="E57" s="18">
        <f t="shared" ref="E57:M57" si="10">E39</f>
        <v>-361719066</v>
      </c>
      <c r="F57" s="18">
        <f t="shared" si="10"/>
        <v>-1036725297</v>
      </c>
      <c r="G57" s="18">
        <f t="shared" si="10"/>
        <v>536834250</v>
      </c>
      <c r="H57" s="18">
        <f t="shared" si="10"/>
        <v>429822814</v>
      </c>
      <c r="I57" s="18">
        <f t="shared" si="10"/>
        <v>-127469129</v>
      </c>
      <c r="J57" s="18">
        <f t="shared" si="10"/>
        <v>-250823052</v>
      </c>
      <c r="K57" s="18">
        <f t="shared" si="10"/>
        <v>393023828</v>
      </c>
      <c r="L57" s="18">
        <f t="shared" si="10"/>
        <v>-450568057</v>
      </c>
      <c r="M57" s="18">
        <f t="shared" si="10"/>
        <v>-459846707</v>
      </c>
    </row>
    <row r="58" spans="1:13">
      <c r="A58" s="5" t="s">
        <v>93</v>
      </c>
      <c r="D58" s="8">
        <f>D46</f>
        <v>1486781220</v>
      </c>
      <c r="E58" s="8">
        <f t="shared" ref="E58:M58" si="11">E46</f>
        <v>1086913641</v>
      </c>
      <c r="F58" s="8">
        <f t="shared" si="11"/>
        <v>826310042</v>
      </c>
      <c r="G58" s="8">
        <f t="shared" si="11"/>
        <v>675861301</v>
      </c>
      <c r="H58" s="8">
        <f t="shared" si="11"/>
        <v>511144107</v>
      </c>
      <c r="I58" s="8">
        <f t="shared" si="11"/>
        <v>332955880</v>
      </c>
      <c r="J58" s="8">
        <f t="shared" si="11"/>
        <v>855187629</v>
      </c>
      <c r="K58" s="8">
        <f t="shared" si="11"/>
        <v>531479253</v>
      </c>
      <c r="L58" s="8">
        <f t="shared" si="11"/>
        <v>776909142</v>
      </c>
      <c r="M58" s="8">
        <f t="shared" si="11"/>
        <v>435226131</v>
      </c>
    </row>
    <row r="59" spans="1:13">
      <c r="A59" s="15" t="s">
        <v>177</v>
      </c>
      <c r="B59" s="19">
        <f>D59*1.3</f>
        <v>9322679438.8</v>
      </c>
      <c r="C59" s="20">
        <f>D59*1.15</f>
        <v>8246985657.4</v>
      </c>
      <c r="D59" s="17">
        <f>D50-D51-D52+D53+D54+D55-D56-D57-D58</f>
        <v>7171291876</v>
      </c>
      <c r="E59" s="17">
        <f t="shared" ref="E59:M59" si="12">E50-E51-E52+E53+E54+E55-E56-E57-E58</f>
        <v>5303495750</v>
      </c>
      <c r="F59" s="17">
        <f t="shared" si="12"/>
        <v>4491659576</v>
      </c>
      <c r="G59" s="17">
        <f t="shared" si="12"/>
        <v>2806468710</v>
      </c>
      <c r="H59" s="17">
        <f t="shared" si="12"/>
        <v>2575674981</v>
      </c>
      <c r="I59" s="17">
        <f t="shared" si="12"/>
        <v>2886753199</v>
      </c>
      <c r="J59" s="17">
        <f t="shared" si="12"/>
        <v>3223495151</v>
      </c>
      <c r="K59" s="17">
        <f t="shared" si="12"/>
        <v>2821178190</v>
      </c>
      <c r="L59" s="17">
        <f t="shared" si="12"/>
        <v>2823965652</v>
      </c>
      <c r="M59" s="17">
        <f t="shared" si="12"/>
        <v>2409376938</v>
      </c>
    </row>
    <row r="60" spans="1:13">
      <c r="A60" s="5" t="s">
        <v>174</v>
      </c>
      <c r="D60" s="8">
        <f>D37</f>
        <v>-15801862</v>
      </c>
      <c r="E60" s="8">
        <f t="shared" ref="E60:M60" si="13">E37</f>
        <v>4290148</v>
      </c>
      <c r="F60" s="8">
        <f t="shared" si="13"/>
        <v>20962737</v>
      </c>
      <c r="G60" s="8">
        <f t="shared" si="13"/>
        <v>26975045</v>
      </c>
      <c r="H60" s="8">
        <f t="shared" si="13"/>
        <v>11843754</v>
      </c>
      <c r="I60" s="8">
        <f t="shared" si="13"/>
        <v>-5932899</v>
      </c>
      <c r="J60" s="8">
        <f t="shared" si="13"/>
        <v>667776495</v>
      </c>
      <c r="K60" s="8">
        <f t="shared" si="13"/>
        <v>23390958</v>
      </c>
      <c r="L60" s="8">
        <f t="shared" si="13"/>
        <v>41956332</v>
      </c>
      <c r="M60" s="8">
        <f t="shared" si="13"/>
        <v>23781843</v>
      </c>
    </row>
    <row r="61" spans="1:13">
      <c r="A61" s="5" t="s">
        <v>178</v>
      </c>
      <c r="D61" s="8">
        <f>D41-D42</f>
        <v>432779086</v>
      </c>
      <c r="E61" s="8">
        <f t="shared" ref="E61:M61" si="14">E41-E42</f>
        <v>396585583</v>
      </c>
      <c r="F61" s="8">
        <f t="shared" si="14"/>
        <v>322440430</v>
      </c>
      <c r="G61" s="8">
        <f t="shared" si="14"/>
        <v>252724868</v>
      </c>
      <c r="H61" s="8">
        <f t="shared" si="14"/>
        <v>167968780</v>
      </c>
      <c r="I61" s="8">
        <f t="shared" si="14"/>
        <v>202161759</v>
      </c>
      <c r="J61" s="8">
        <f t="shared" si="14"/>
        <v>226758883</v>
      </c>
      <c r="K61" s="8">
        <f t="shared" si="14"/>
        <v>293878255</v>
      </c>
      <c r="L61" s="8">
        <f t="shared" si="14"/>
        <v>197029162</v>
      </c>
      <c r="M61" s="8">
        <f t="shared" si="14"/>
        <v>182855028</v>
      </c>
    </row>
    <row r="62" spans="1:13">
      <c r="A62" s="5" t="s">
        <v>179</v>
      </c>
      <c r="D62" s="8">
        <f>D44-D45</f>
        <v>-84230730</v>
      </c>
      <c r="E62" s="8">
        <f t="shared" ref="E62:M62" si="15">E44-E45</f>
        <v>-75263208</v>
      </c>
      <c r="F62" s="8">
        <f t="shared" si="15"/>
        <v>-82267098</v>
      </c>
      <c r="G62" s="8">
        <f t="shared" si="15"/>
        <v>56812170</v>
      </c>
      <c r="H62" s="8">
        <f t="shared" si="15"/>
        <v>-157036579</v>
      </c>
      <c r="I62" s="8">
        <f t="shared" si="15"/>
        <v>-184799887</v>
      </c>
      <c r="J62" s="8">
        <f t="shared" si="15"/>
        <v>-10857880</v>
      </c>
      <c r="K62" s="8">
        <f t="shared" si="15"/>
        <v>9795111</v>
      </c>
      <c r="L62" s="8">
        <f t="shared" si="15"/>
        <v>79765416</v>
      </c>
      <c r="M62" s="8">
        <f t="shared" si="15"/>
        <v>-8515212</v>
      </c>
    </row>
    <row r="63" spans="1:13">
      <c r="A63" s="5" t="s">
        <v>94</v>
      </c>
      <c r="D63" s="8">
        <f>SUM(D59:D62)</f>
        <v>7504038370</v>
      </c>
      <c r="E63" s="8">
        <f t="shared" ref="E63:M63" si="16">SUM(E59:E62)</f>
        <v>5629108273</v>
      </c>
      <c r="F63" s="8">
        <f t="shared" si="16"/>
        <v>4752795645</v>
      </c>
      <c r="G63" s="8">
        <f t="shared" si="16"/>
        <v>3142980793</v>
      </c>
      <c r="H63" s="8">
        <f t="shared" si="16"/>
        <v>2598450936</v>
      </c>
      <c r="I63" s="8">
        <f t="shared" si="16"/>
        <v>2898182172</v>
      </c>
      <c r="J63" s="8">
        <f t="shared" si="16"/>
        <v>4107172649</v>
      </c>
      <c r="K63" s="8">
        <f t="shared" si="16"/>
        <v>3148242514</v>
      </c>
      <c r="L63" s="8">
        <f t="shared" si="16"/>
        <v>3142716562</v>
      </c>
      <c r="M63" s="8">
        <f t="shared" si="16"/>
        <v>2607498597</v>
      </c>
    </row>
    <row r="64" spans="1:13">
      <c r="A64" s="5" t="s">
        <v>69</v>
      </c>
      <c r="D64" s="8">
        <f>D17</f>
        <v>4697538357.6</v>
      </c>
      <c r="E64" s="8">
        <f t="shared" ref="E64:M64" si="17">E17</f>
        <v>3392666591.6</v>
      </c>
      <c r="F64" s="8">
        <f t="shared" si="17"/>
        <v>3262179415</v>
      </c>
      <c r="G64" s="8">
        <f t="shared" si="17"/>
        <v>2609743532</v>
      </c>
      <c r="H64" s="8">
        <f t="shared" si="17"/>
        <v>1957307649</v>
      </c>
      <c r="I64" s="8">
        <f t="shared" si="17"/>
        <v>1881463149</v>
      </c>
      <c r="J64" s="8">
        <f t="shared" si="17"/>
        <v>2884910162</v>
      </c>
      <c r="K64" s="8">
        <f t="shared" si="17"/>
        <v>1881463149</v>
      </c>
      <c r="L64" s="8">
        <f t="shared" si="17"/>
        <v>1881463149</v>
      </c>
      <c r="M64" s="8">
        <f t="shared" si="17"/>
        <v>1881463149</v>
      </c>
    </row>
    <row r="65" spans="1:13">
      <c r="A65" s="15" t="s">
        <v>164</v>
      </c>
      <c r="B65" s="16"/>
      <c r="C65" s="16"/>
      <c r="D65" s="20">
        <f>D63-D64</f>
        <v>2806500012.4</v>
      </c>
      <c r="E65" s="20">
        <f t="shared" ref="E65:M65" si="18">E63-E64</f>
        <v>2236441681.4</v>
      </c>
      <c r="F65" s="20">
        <f t="shared" si="18"/>
        <v>1490616230</v>
      </c>
      <c r="G65" s="20">
        <f t="shared" si="18"/>
        <v>533237261</v>
      </c>
      <c r="H65" s="20">
        <f t="shared" si="18"/>
        <v>641143287</v>
      </c>
      <c r="I65" s="20">
        <f t="shared" si="18"/>
        <v>1016719023</v>
      </c>
      <c r="J65" s="20">
        <f t="shared" si="18"/>
        <v>1222262487</v>
      </c>
      <c r="K65" s="20">
        <f t="shared" si="18"/>
        <v>1266779365</v>
      </c>
      <c r="L65" s="20">
        <f t="shared" si="18"/>
        <v>1261253413</v>
      </c>
      <c r="M65" s="20">
        <f t="shared" si="18"/>
        <v>726035448</v>
      </c>
    </row>
    <row r="66" spans="1:13">
      <c r="A66" s="5" t="s">
        <v>166</v>
      </c>
      <c r="D66" s="8">
        <f>D23</f>
        <v>2727498647</v>
      </c>
      <c r="E66" s="8">
        <f t="shared" ref="E66:M66" si="19">E23</f>
        <v>2522443359</v>
      </c>
      <c r="F66" s="8">
        <f t="shared" si="19"/>
        <v>2345067457</v>
      </c>
      <c r="G66" s="8">
        <f t="shared" si="19"/>
        <v>2251652666</v>
      </c>
      <c r="H66" s="8">
        <f t="shared" si="19"/>
        <v>2242004968</v>
      </c>
      <c r="I66" s="8">
        <f t="shared" si="19"/>
        <v>2130158309</v>
      </c>
      <c r="J66" s="8">
        <f t="shared" si="19"/>
        <v>1687167602</v>
      </c>
      <c r="K66" s="8">
        <f t="shared" si="19"/>
        <v>1398392498</v>
      </c>
      <c r="L66" s="8">
        <f t="shared" si="19"/>
        <v>1254667862</v>
      </c>
      <c r="M66" s="8">
        <f t="shared" si="19"/>
        <v>1031900411</v>
      </c>
    </row>
    <row r="67" spans="1:13">
      <c r="A67" s="5" t="s">
        <v>180</v>
      </c>
      <c r="D67" s="8">
        <f>D24</f>
        <v>5480872166</v>
      </c>
      <c r="E67" s="8">
        <f t="shared" ref="E67:M67" si="20">E24</f>
        <v>4474711099</v>
      </c>
      <c r="F67" s="8">
        <f t="shared" si="20"/>
        <v>3130253387</v>
      </c>
      <c r="G67" s="8">
        <f t="shared" si="20"/>
        <v>2328511864</v>
      </c>
      <c r="H67" s="8">
        <f t="shared" si="20"/>
        <v>1772542963</v>
      </c>
      <c r="I67" s="8">
        <f t="shared" si="20"/>
        <v>2779502262</v>
      </c>
      <c r="J67" s="8">
        <f t="shared" si="20"/>
        <v>3591741242</v>
      </c>
      <c r="K67" s="8">
        <f t="shared" si="20"/>
        <v>3589995076</v>
      </c>
      <c r="L67" s="8">
        <f t="shared" si="20"/>
        <v>3567561244</v>
      </c>
      <c r="M67" s="8">
        <f t="shared" si="20"/>
        <v>3255541569</v>
      </c>
    </row>
    <row r="68" spans="1:13">
      <c r="A68" s="15" t="s">
        <v>181</v>
      </c>
      <c r="B68" s="16"/>
      <c r="C68" s="16"/>
      <c r="D68" s="20">
        <f t="shared" ref="D68:M68" si="21">D65+D66-D67</f>
        <v>53126493.3999996</v>
      </c>
      <c r="E68" s="20">
        <f t="shared" si="21"/>
        <v>284173941.4</v>
      </c>
      <c r="F68" s="20">
        <f t="shared" si="21"/>
        <v>705430300</v>
      </c>
      <c r="G68" s="20">
        <f t="shared" si="21"/>
        <v>456378063</v>
      </c>
      <c r="H68" s="20">
        <f t="shared" si="21"/>
        <v>1110605292</v>
      </c>
      <c r="I68" s="20">
        <f t="shared" si="21"/>
        <v>367375070</v>
      </c>
      <c r="J68" s="20">
        <f t="shared" si="21"/>
        <v>-682311153</v>
      </c>
      <c r="K68" s="20">
        <f t="shared" si="21"/>
        <v>-924823213</v>
      </c>
      <c r="L68" s="20">
        <f t="shared" si="21"/>
        <v>-1051639969</v>
      </c>
      <c r="M68" s="20">
        <f t="shared" si="21"/>
        <v>-1497605710</v>
      </c>
    </row>
    <row r="69" spans="1:13">
      <c r="A69" s="15" t="s">
        <v>182</v>
      </c>
      <c r="B69" s="16"/>
      <c r="C69" s="16"/>
      <c r="D69" s="20">
        <f>D63+D66-D67</f>
        <v>4750664851</v>
      </c>
      <c r="E69" s="20">
        <f t="shared" ref="E69:M69" si="22">E63+E66-E67</f>
        <v>3676840533</v>
      </c>
      <c r="F69" s="20">
        <f t="shared" si="22"/>
        <v>3967609715</v>
      </c>
      <c r="G69" s="20">
        <f t="shared" si="22"/>
        <v>3066121595</v>
      </c>
      <c r="H69" s="20">
        <f t="shared" si="22"/>
        <v>3067912941</v>
      </c>
      <c r="I69" s="20">
        <f t="shared" si="22"/>
        <v>2248838219</v>
      </c>
      <c r="J69" s="20">
        <f t="shared" si="22"/>
        <v>2202599009</v>
      </c>
      <c r="K69" s="20">
        <f t="shared" si="22"/>
        <v>956639936</v>
      </c>
      <c r="L69" s="20">
        <f t="shared" si="22"/>
        <v>829823180</v>
      </c>
      <c r="M69" s="20">
        <f t="shared" si="22"/>
        <v>383857439</v>
      </c>
    </row>
    <row r="70" spans="1:13">
      <c r="A70" s="21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spans="1:13">
      <c r="A71" s="10" t="s">
        <v>183</v>
      </c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 spans="1:13">
      <c r="A72" s="23" t="s">
        <v>72</v>
      </c>
      <c r="D72" s="22">
        <f>1-D29/D28</f>
        <v>0.356183106478484</v>
      </c>
      <c r="E72" s="22">
        <f t="shared" ref="E72:M72" si="23">1-E29/E28</f>
        <v>0.347320780326144</v>
      </c>
      <c r="F72" s="22">
        <f t="shared" si="23"/>
        <v>0.334196798909187</v>
      </c>
      <c r="G72" s="22">
        <f t="shared" si="23"/>
        <v>0.353434412639256</v>
      </c>
      <c r="H72" s="22">
        <f t="shared" si="23"/>
        <v>0.391848367916039</v>
      </c>
      <c r="I72" s="22">
        <f t="shared" si="23"/>
        <v>0.371015103638913</v>
      </c>
      <c r="J72" s="22">
        <f t="shared" si="23"/>
        <v>0.422210816582124</v>
      </c>
      <c r="K72" s="22">
        <f t="shared" si="23"/>
        <v>0.423648031613734</v>
      </c>
      <c r="L72" s="22">
        <f t="shared" si="23"/>
        <v>0.427302083532206</v>
      </c>
      <c r="M72" s="22">
        <f t="shared" si="23"/>
        <v>0.420132719775796</v>
      </c>
    </row>
    <row r="73" spans="1:13">
      <c r="A73" s="23" t="s">
        <v>184</v>
      </c>
      <c r="D73" s="22">
        <f>D30/D28</f>
        <v>0.15583110879556</v>
      </c>
      <c r="E73" s="22">
        <f t="shared" ref="E73:M73" si="24">E30/E28</f>
        <v>0.173590470266248</v>
      </c>
      <c r="F73" s="22">
        <f t="shared" si="24"/>
        <v>0.179653228833272</v>
      </c>
      <c r="G73" s="22">
        <f t="shared" si="24"/>
        <v>0.18472889465551</v>
      </c>
      <c r="H73" s="22">
        <f t="shared" si="24"/>
        <v>0.23240598128695</v>
      </c>
      <c r="I73" s="22">
        <f t="shared" si="24"/>
        <v>0.225276037768519</v>
      </c>
      <c r="J73" s="22">
        <f t="shared" si="24"/>
        <v>0.232426831661788</v>
      </c>
      <c r="K73" s="22">
        <f t="shared" si="24"/>
        <v>0.224034541714645</v>
      </c>
      <c r="L73" s="22">
        <f t="shared" si="24"/>
        <v>0.230262269883251</v>
      </c>
      <c r="M73" s="22">
        <f t="shared" si="24"/>
        <v>0.226510264779713</v>
      </c>
    </row>
    <row r="74" spans="1:13">
      <c r="A74" s="23" t="s">
        <v>185</v>
      </c>
      <c r="D74" s="22">
        <f>D31/D28</f>
        <v>0.0433410673881316</v>
      </c>
      <c r="E74" s="22">
        <f t="shared" ref="E74:M74" si="25">E31/E28</f>
        <v>0.0429715932438315</v>
      </c>
      <c r="F74" s="22">
        <f t="shared" si="25"/>
        <v>0.0451554652363642</v>
      </c>
      <c r="G74" s="22">
        <f t="shared" si="25"/>
        <v>0.0428699226805527</v>
      </c>
      <c r="H74" s="22">
        <f t="shared" si="25"/>
        <v>0.0415237129653532</v>
      </c>
      <c r="I74" s="22">
        <f t="shared" si="25"/>
        <v>0.0391585060951623</v>
      </c>
      <c r="J74" s="22">
        <f t="shared" si="25"/>
        <v>0.0446454021359145</v>
      </c>
      <c r="K74" s="22">
        <f t="shared" si="25"/>
        <v>0.0441671700862589</v>
      </c>
      <c r="L74" s="22">
        <f t="shared" si="25"/>
        <v>0</v>
      </c>
      <c r="M74" s="22">
        <f t="shared" si="25"/>
        <v>0</v>
      </c>
    </row>
    <row r="75" spans="1:13">
      <c r="A75" s="23" t="s">
        <v>186</v>
      </c>
      <c r="D75" s="22">
        <f>D32/D28</f>
        <v>0.0304894817566378</v>
      </c>
      <c r="E75" s="22">
        <f t="shared" ref="E75:M75" si="26">E32/E28</f>
        <v>0.0471294073170629</v>
      </c>
      <c r="F75" s="22">
        <f t="shared" si="26"/>
        <v>0.0488489506183828</v>
      </c>
      <c r="G75" s="22">
        <f t="shared" si="26"/>
        <v>0.0494813534708061</v>
      </c>
      <c r="H75" s="22">
        <f t="shared" si="26"/>
        <v>0.0750646279672592</v>
      </c>
      <c r="I75" s="22">
        <f t="shared" si="26"/>
        <v>0.0713489460196855</v>
      </c>
      <c r="J75" s="22">
        <f t="shared" si="26"/>
        <v>0.0738122692463522</v>
      </c>
      <c r="K75" s="22">
        <f t="shared" si="26"/>
        <v>0.0700519416479446</v>
      </c>
      <c r="L75" s="22">
        <f t="shared" si="26"/>
        <v>0.0727255251448062</v>
      </c>
      <c r="M75" s="22">
        <f t="shared" si="26"/>
        <v>0.0768935027545548</v>
      </c>
    </row>
    <row r="76" spans="1:13">
      <c r="A76" s="23" t="s">
        <v>187</v>
      </c>
      <c r="D76" s="22">
        <f>D33/D28</f>
        <v>0.0746127042908948</v>
      </c>
      <c r="E76" s="22">
        <f t="shared" ref="E76:M76" si="27">E33/E28</f>
        <v>0.076141986665692</v>
      </c>
      <c r="F76" s="22">
        <f t="shared" si="27"/>
        <v>0.0774993193341315</v>
      </c>
      <c r="G76" s="22">
        <f t="shared" si="27"/>
        <v>0.0835805778528656</v>
      </c>
      <c r="H76" s="22">
        <f t="shared" si="27"/>
        <v>0.105727526754589</v>
      </c>
      <c r="I76" s="22">
        <f t="shared" si="27"/>
        <v>0.10524217552862</v>
      </c>
      <c r="J76" s="22">
        <f t="shared" si="27"/>
        <v>0.103756231967965</v>
      </c>
      <c r="K76" s="22">
        <f t="shared" si="27"/>
        <v>0.0988064385045247</v>
      </c>
      <c r="L76" s="22">
        <f t="shared" si="27"/>
        <v>0.146839445189145</v>
      </c>
      <c r="M76" s="22">
        <f t="shared" si="27"/>
        <v>0.141144195780989</v>
      </c>
    </row>
    <row r="77" spans="1:13">
      <c r="A77" s="23" t="s">
        <v>188</v>
      </c>
      <c r="D77" s="22">
        <f>D59/D28</f>
        <v>0.185254778123662</v>
      </c>
      <c r="E77" s="22">
        <f t="shared" ref="E77:M77" si="28">E59/E28</f>
        <v>0.162433905536508</v>
      </c>
      <c r="F77" s="22">
        <f t="shared" si="28"/>
        <v>0.162441250572929</v>
      </c>
      <c r="G77" s="22">
        <f t="shared" si="28"/>
        <v>0.120650553910016</v>
      </c>
      <c r="H77" s="22">
        <f t="shared" si="28"/>
        <v>0.131135738867804</v>
      </c>
      <c r="I77" s="22">
        <f t="shared" si="28"/>
        <v>0.139019548751732</v>
      </c>
      <c r="J77" s="22">
        <f t="shared" si="28"/>
        <v>0.162116337555088</v>
      </c>
      <c r="K77" s="22">
        <f t="shared" si="28"/>
        <v>0.15508721509685</v>
      </c>
      <c r="L77" s="22">
        <f t="shared" si="28"/>
        <v>0.173349747043278</v>
      </c>
      <c r="M77" s="22">
        <f t="shared" si="28"/>
        <v>0.181528732068621</v>
      </c>
    </row>
    <row r="78" spans="1:13">
      <c r="A78" s="10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1:13">
      <c r="A79" s="23" t="s">
        <v>189</v>
      </c>
      <c r="D79" s="22">
        <f>D6/D28</f>
        <v>0.231706682154771</v>
      </c>
      <c r="E79" s="22">
        <f t="shared" ref="E79:M79" si="29">E6/E28</f>
        <v>0.229585548507677</v>
      </c>
      <c r="F79" s="22">
        <f t="shared" si="29"/>
        <v>0.197532485569822</v>
      </c>
      <c r="G79" s="22">
        <f t="shared" si="29"/>
        <v>0.187012454255074</v>
      </c>
      <c r="H79" s="22">
        <f t="shared" si="29"/>
        <v>0.191124189762404</v>
      </c>
      <c r="I79" s="22">
        <f t="shared" si="29"/>
        <v>0.167465713330771</v>
      </c>
      <c r="J79" s="22">
        <f t="shared" si="29"/>
        <v>0.216462601695177</v>
      </c>
      <c r="K79" s="22">
        <f t="shared" si="29"/>
        <v>0.25494287878136</v>
      </c>
      <c r="L79" s="22">
        <f t="shared" si="29"/>
        <v>0.276720938538555</v>
      </c>
      <c r="M79" s="22">
        <f t="shared" si="29"/>
        <v>0.251053116840673</v>
      </c>
    </row>
    <row r="80" spans="1:13">
      <c r="A80" s="23" t="s">
        <v>190</v>
      </c>
      <c r="D80" s="8">
        <f>D28/D6</f>
        <v>4.31580129973135</v>
      </c>
      <c r="E80" s="8">
        <f t="shared" ref="E80:M80" si="30">E28/E6</f>
        <v>4.35567485192372</v>
      </c>
      <c r="F80" s="8">
        <f t="shared" si="30"/>
        <v>5.06245844634262</v>
      </c>
      <c r="G80" s="8">
        <f t="shared" si="30"/>
        <v>5.34723745529835</v>
      </c>
      <c r="H80" s="8">
        <f t="shared" si="30"/>
        <v>5.23220007495205</v>
      </c>
      <c r="I80" s="8">
        <f t="shared" si="30"/>
        <v>5.9713715727878</v>
      </c>
      <c r="J80" s="8">
        <f t="shared" si="30"/>
        <v>4.61973565950298</v>
      </c>
      <c r="K80" s="8">
        <f t="shared" si="30"/>
        <v>3.92244727438574</v>
      </c>
      <c r="L80" s="8">
        <f t="shared" si="30"/>
        <v>3.61374894607288</v>
      </c>
      <c r="M80" s="8">
        <f t="shared" si="30"/>
        <v>3.98322081232967</v>
      </c>
    </row>
    <row r="81" spans="1:13">
      <c r="A81" s="23" t="s">
        <v>191</v>
      </c>
      <c r="D81" s="24">
        <f>D29/D8</f>
        <v>4.17418169306467</v>
      </c>
      <c r="E81" s="24">
        <f t="shared" ref="E81:M81" si="31">E29/E8</f>
        <v>4.14301821936074</v>
      </c>
      <c r="F81" s="24">
        <f t="shared" si="31"/>
        <v>3.40715943154838</v>
      </c>
      <c r="G81" s="24">
        <f t="shared" si="31"/>
        <v>3.47577543078998</v>
      </c>
      <c r="H81" s="24">
        <f t="shared" si="31"/>
        <v>3.64063395100083</v>
      </c>
      <c r="I81" s="24">
        <f t="shared" si="31"/>
        <v>3.98142509602395</v>
      </c>
      <c r="J81" s="24">
        <f t="shared" si="31"/>
        <v>3.54398167820725</v>
      </c>
      <c r="K81" s="24">
        <f t="shared" si="31"/>
        <v>3.52453980463511</v>
      </c>
      <c r="L81" s="24">
        <f t="shared" si="31"/>
        <v>3.34889644417775</v>
      </c>
      <c r="M81" s="24">
        <f t="shared" si="31"/>
        <v>2.7336924757723</v>
      </c>
    </row>
    <row r="82" spans="1:13">
      <c r="A82" s="23" t="s">
        <v>192</v>
      </c>
      <c r="D82" s="22">
        <f>(D12-D7)/D29</f>
        <v>0.220590054326007</v>
      </c>
      <c r="E82" s="22">
        <f t="shared" ref="E82:M82" si="32">(E12-E7)/E29</f>
        <v>0.244318852489533</v>
      </c>
      <c r="F82" s="22">
        <f t="shared" si="32"/>
        <v>0.212805625585707</v>
      </c>
      <c r="G82" s="22">
        <f t="shared" si="32"/>
        <v>0.193436983400974</v>
      </c>
      <c r="H82" s="22">
        <f t="shared" si="32"/>
        <v>0.191921531968752</v>
      </c>
      <c r="I82" s="22">
        <f t="shared" si="32"/>
        <v>0.143544006842019</v>
      </c>
      <c r="J82" s="22">
        <f t="shared" si="32"/>
        <v>0.195429390771265</v>
      </c>
      <c r="K82" s="22">
        <f t="shared" si="32"/>
        <v>0.210368006481823</v>
      </c>
      <c r="L82" s="22">
        <f t="shared" si="32"/>
        <v>0.188995342570059</v>
      </c>
      <c r="M82" s="22">
        <f t="shared" si="32"/>
        <v>0.15467732509723</v>
      </c>
    </row>
    <row r="83" spans="1:13">
      <c r="A83" s="23" t="s">
        <v>193</v>
      </c>
      <c r="D83" s="12">
        <f>D11/D28</f>
        <v>0.0208551704940937</v>
      </c>
      <c r="E83" s="12">
        <f t="shared" ref="E83:M83" si="33">E11/E28</f>
        <v>0.0299865850056075</v>
      </c>
      <c r="F83" s="12">
        <f t="shared" si="33"/>
        <v>0.0336908655098426</v>
      </c>
      <c r="G83" s="12">
        <f t="shared" si="33"/>
        <v>0.0371322003234184</v>
      </c>
      <c r="H83" s="12">
        <f t="shared" si="33"/>
        <v>0.0385047082972365</v>
      </c>
      <c r="I83" s="12">
        <f t="shared" si="33"/>
        <v>0.0334889097248385</v>
      </c>
      <c r="J83" s="12">
        <f t="shared" si="33"/>
        <v>0.029898809418914</v>
      </c>
      <c r="K83" s="12">
        <f t="shared" si="33"/>
        <v>0.0243133951578629</v>
      </c>
      <c r="L83" s="12">
        <f t="shared" si="33"/>
        <v>0.00131582805720142</v>
      </c>
      <c r="M83" s="12">
        <f t="shared" si="33"/>
        <v>0.00256055560972823</v>
      </c>
    </row>
    <row r="84" spans="1:13">
      <c r="A84" s="23" t="s">
        <v>194</v>
      </c>
      <c r="D84" s="22">
        <f>D56/D59</f>
        <v>0.0402308380398712</v>
      </c>
      <c r="E84" s="22">
        <f t="shared" ref="E84:M84" si="34">E56/E59</f>
        <v>0.0543640678886186</v>
      </c>
      <c r="F84" s="22">
        <f t="shared" si="34"/>
        <v>0.0641460587395148</v>
      </c>
      <c r="G84" s="22">
        <f t="shared" si="34"/>
        <v>0.113644876874469</v>
      </c>
      <c r="H84" s="22">
        <f t="shared" si="34"/>
        <v>0.137731820053735</v>
      </c>
      <c r="I84" s="22">
        <f t="shared" si="34"/>
        <v>0.149884486193653</v>
      </c>
      <c r="J84" s="22">
        <f t="shared" si="34"/>
        <v>0.116715073352378</v>
      </c>
      <c r="K84" s="22">
        <f t="shared" si="34"/>
        <v>0.0646442754472024</v>
      </c>
      <c r="L84" s="22">
        <f t="shared" si="34"/>
        <v>0.0558481013706041</v>
      </c>
      <c r="M84" s="22">
        <f t="shared" si="34"/>
        <v>0.0790710768395343</v>
      </c>
    </row>
    <row r="85" spans="1:13">
      <c r="A85" s="23" t="s">
        <v>195</v>
      </c>
      <c r="D85" s="22">
        <f>D23/D9</f>
        <v>0.105220464934625</v>
      </c>
      <c r="E85" s="22">
        <f t="shared" ref="E85:M85" si="35">E23/E9</f>
        <v>0.112752463131111</v>
      </c>
      <c r="F85" s="22">
        <f t="shared" si="35"/>
        <v>0.117021682656151</v>
      </c>
      <c r="G85" s="22">
        <f t="shared" si="35"/>
        <v>0.119077085504735</v>
      </c>
      <c r="H85" s="22">
        <f t="shared" si="35"/>
        <v>0.117513947406775</v>
      </c>
      <c r="I85" s="22">
        <f t="shared" si="35"/>
        <v>0.105696138271229</v>
      </c>
      <c r="J85" s="22">
        <f t="shared" si="35"/>
        <v>0.0914441251390503</v>
      </c>
      <c r="K85" s="22">
        <f t="shared" si="35"/>
        <v>0.0857334878221388</v>
      </c>
      <c r="L85" s="22">
        <f t="shared" si="35"/>
        <v>0.0859205194743559</v>
      </c>
      <c r="M85" s="22">
        <f t="shared" si="35"/>
        <v>0.0856775803186096</v>
      </c>
    </row>
    <row r="86" spans="1:13">
      <c r="A86" s="23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>
      <c r="A87" s="10" t="s">
        <v>196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1:13">
      <c r="A88" s="23" t="s">
        <v>197</v>
      </c>
      <c r="D88" s="12">
        <f>D3/D2</f>
        <v>0.327467865831815</v>
      </c>
      <c r="E88" s="12">
        <f t="shared" ref="E88:M88" si="36">E3/E2</f>
        <v>0.350321175876257</v>
      </c>
      <c r="F88" s="12">
        <f t="shared" si="36"/>
        <v>0.357811210018097</v>
      </c>
      <c r="G88" s="12">
        <f t="shared" si="36"/>
        <v>0.344930789026023</v>
      </c>
      <c r="H88" s="12">
        <f t="shared" si="36"/>
        <v>0.270976140099753</v>
      </c>
      <c r="I88" s="12">
        <f t="shared" si="36"/>
        <v>0.257597459870886</v>
      </c>
      <c r="J88" s="12">
        <f t="shared" si="36"/>
        <v>0.197178624779724</v>
      </c>
      <c r="K88" s="12">
        <f t="shared" si="36"/>
        <v>0.214081992184312</v>
      </c>
      <c r="L88" s="12">
        <f t="shared" si="36"/>
        <v>0.241517698623227</v>
      </c>
      <c r="M88" s="12">
        <f t="shared" si="36"/>
        <v>0.240203908329014</v>
      </c>
    </row>
    <row r="89" spans="1:13">
      <c r="A89" s="23" t="s">
        <v>198</v>
      </c>
      <c r="D89" s="12">
        <f>D4/D2</f>
        <v>0.00828684322497842</v>
      </c>
      <c r="E89" s="12">
        <f t="shared" ref="E89:M89" si="37">E4/E2</f>
        <v>0.00481354074706363</v>
      </c>
      <c r="F89" s="12">
        <f t="shared" si="37"/>
        <v>0.00645308639979872</v>
      </c>
      <c r="G89" s="12">
        <f t="shared" si="37"/>
        <v>0.00665726048846368</v>
      </c>
      <c r="H89" s="12">
        <f t="shared" si="37"/>
        <v>0.0068902635743554</v>
      </c>
      <c r="I89" s="12">
        <f t="shared" si="37"/>
        <v>0.00514613177009051</v>
      </c>
      <c r="J89" s="12">
        <f t="shared" si="37"/>
        <v>0.00596507489998822</v>
      </c>
      <c r="K89" s="12">
        <f t="shared" si="37"/>
        <v>0.00299239572966744</v>
      </c>
      <c r="L89" s="12">
        <f t="shared" si="37"/>
        <v>0.00339975056998741</v>
      </c>
      <c r="M89" s="12">
        <f t="shared" si="37"/>
        <v>0.00188504901392398</v>
      </c>
    </row>
    <row r="90" spans="1:13">
      <c r="A90" s="23" t="s">
        <v>20</v>
      </c>
      <c r="D90" s="12">
        <f>D5/D2</f>
        <v>0.254442341450545</v>
      </c>
      <c r="E90" s="12">
        <f t="shared" ref="E90:M90" si="38">E5/E2</f>
        <v>0.24982107574008</v>
      </c>
      <c r="F90" s="12">
        <f t="shared" si="38"/>
        <v>0.241002886322401</v>
      </c>
      <c r="G90" s="12">
        <f t="shared" si="38"/>
        <v>0.226189179534615</v>
      </c>
      <c r="H90" s="12">
        <f t="shared" si="38"/>
        <v>0.225599794670327</v>
      </c>
      <c r="I90" s="12">
        <f t="shared" si="38"/>
        <v>0.218185149433496</v>
      </c>
      <c r="J90" s="12">
        <f t="shared" si="38"/>
        <v>0.261917992068264</v>
      </c>
      <c r="K90" s="12">
        <f t="shared" si="38"/>
        <v>0.271946094169734</v>
      </c>
      <c r="L90" s="12">
        <f t="shared" si="38"/>
        <v>0.266140863733218</v>
      </c>
      <c r="M90" s="12">
        <f t="shared" si="38"/>
        <v>0.269130754832724</v>
      </c>
    </row>
    <row r="91" spans="1:13">
      <c r="A91" s="23" t="s">
        <v>31</v>
      </c>
      <c r="D91" s="12">
        <f>D9/D2</f>
        <v>0.409802949492661</v>
      </c>
      <c r="E91" s="12">
        <f t="shared" ref="E91:M91" si="39">E9/E2</f>
        <v>0.395044207636599</v>
      </c>
      <c r="F91" s="12">
        <f t="shared" si="39"/>
        <v>0.394732817259703</v>
      </c>
      <c r="G91" s="12">
        <f t="shared" si="39"/>
        <v>0.422222770950898</v>
      </c>
      <c r="H91" s="12">
        <f t="shared" si="39"/>
        <v>0.496533801655564</v>
      </c>
      <c r="I91" s="12">
        <f t="shared" si="39"/>
        <v>0.519071258925527</v>
      </c>
      <c r="J91" s="12">
        <f t="shared" si="39"/>
        <v>0.534938308252024</v>
      </c>
      <c r="K91" s="12">
        <f t="shared" si="39"/>
        <v>0.510979517916286</v>
      </c>
      <c r="L91" s="12">
        <f t="shared" si="39"/>
        <v>0.488941687073567</v>
      </c>
      <c r="M91" s="12">
        <f t="shared" si="39"/>
        <v>0.488780287824338</v>
      </c>
    </row>
    <row r="92" spans="1:13">
      <c r="A92" s="10" t="s">
        <v>199</v>
      </c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 spans="1:13">
      <c r="A93" s="23" t="s">
        <v>39</v>
      </c>
      <c r="B93" s="25"/>
      <c r="C93" s="25"/>
      <c r="D93" s="22">
        <f>(D10-D13)/D2</f>
        <v>0.198774441150103</v>
      </c>
      <c r="E93" s="22">
        <f t="shared" ref="E93:M93" si="40">(E10-E13)/E2</f>
        <v>0.188647083405558</v>
      </c>
      <c r="F93" s="22">
        <f t="shared" si="40"/>
        <v>0.172692988797672</v>
      </c>
      <c r="G93" s="22">
        <f t="shared" si="40"/>
        <v>0.162669640961589</v>
      </c>
      <c r="H93" s="22">
        <f t="shared" si="40"/>
        <v>0.166515593787966</v>
      </c>
      <c r="I93" s="22">
        <f t="shared" si="40"/>
        <v>0.156433441691513</v>
      </c>
      <c r="J93" s="22">
        <f t="shared" si="40"/>
        <v>0.170983245195124</v>
      </c>
      <c r="K93" s="22">
        <f t="shared" si="40"/>
        <v>0.162983173484116</v>
      </c>
      <c r="L93" s="22">
        <f t="shared" si="40"/>
        <v>0.152911810274188</v>
      </c>
      <c r="M93" s="22">
        <f t="shared" si="40"/>
        <v>0.14891024247073</v>
      </c>
    </row>
    <row r="94" spans="1:13">
      <c r="A94" s="23" t="s">
        <v>53</v>
      </c>
      <c r="B94" s="26"/>
      <c r="C94" s="27"/>
      <c r="D94" s="22">
        <f>D13/D2</f>
        <v>0.237064142999013</v>
      </c>
      <c r="E94" s="22">
        <f t="shared" ref="E94:M94" si="41">E13/E2</f>
        <v>0.256680546811947</v>
      </c>
      <c r="F94" s="22">
        <f t="shared" si="41"/>
        <v>0.256305901863866</v>
      </c>
      <c r="G94" s="22">
        <f t="shared" si="41"/>
        <v>0.250210418149246</v>
      </c>
      <c r="H94" s="22">
        <f t="shared" si="41"/>
        <v>0.27156690897935</v>
      </c>
      <c r="I94" s="22">
        <f t="shared" si="41"/>
        <v>0.293189809923165</v>
      </c>
      <c r="J94" s="22">
        <f t="shared" si="41"/>
        <v>0.243640824995051</v>
      </c>
      <c r="K94" s="22">
        <f t="shared" si="41"/>
        <v>0.248127636120579</v>
      </c>
      <c r="L94" s="22">
        <f t="shared" si="41"/>
        <v>0.243102414720483</v>
      </c>
      <c r="M94" s="22">
        <f t="shared" si="41"/>
        <v>0.192469264938648</v>
      </c>
    </row>
    <row r="95" spans="1:13">
      <c r="A95" s="10" t="s">
        <v>200</v>
      </c>
      <c r="B95" s="26"/>
      <c r="C95" s="27"/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 spans="1:13">
      <c r="A96" s="23" t="s">
        <v>161</v>
      </c>
      <c r="B96" s="22"/>
      <c r="C96" s="22"/>
      <c r="D96" s="22">
        <f>D15/D2</f>
        <v>0.194619453804398</v>
      </c>
      <c r="E96" s="22">
        <f t="shared" ref="E96:M96" si="42">E15/E2</f>
        <v>0.217383116254053</v>
      </c>
      <c r="F96" s="22">
        <f t="shared" si="42"/>
        <v>0.242487708655491</v>
      </c>
      <c r="G96" s="22">
        <f t="shared" si="42"/>
        <v>0.274880509232522</v>
      </c>
      <c r="H96" s="22">
        <f t="shared" si="42"/>
        <v>0.227243783614564</v>
      </c>
      <c r="I96" s="22">
        <f t="shared" si="42"/>
        <v>0.22489138226434</v>
      </c>
      <c r="J96" s="22">
        <f t="shared" si="42"/>
        <v>0.253162790202343</v>
      </c>
      <c r="K96" s="22">
        <f t="shared" si="42"/>
        <v>0.273574716363417</v>
      </c>
      <c r="L96" s="22">
        <f t="shared" si="42"/>
        <v>0.292553935950906</v>
      </c>
      <c r="M96" s="22">
        <f t="shared" si="42"/>
        <v>0.354595127225824</v>
      </c>
    </row>
    <row r="97" spans="1:13">
      <c r="A97" s="23" t="s">
        <v>164</v>
      </c>
      <c r="D97" s="22">
        <f>D16/D2</f>
        <v>0.294462695496845</v>
      </c>
      <c r="E97" s="22">
        <f t="shared" ref="E97:M97" si="43">E16/E2</f>
        <v>0.265001862247327</v>
      </c>
      <c r="F97" s="22">
        <f t="shared" si="43"/>
        <v>0.25586830815669</v>
      </c>
      <c r="G97" s="22">
        <f t="shared" si="43"/>
        <v>0.251100004067233</v>
      </c>
      <c r="H97" s="22">
        <f t="shared" si="43"/>
        <v>0.268208648003659</v>
      </c>
      <c r="I97" s="22">
        <f t="shared" si="43"/>
        <v>0.253145419223427</v>
      </c>
      <c r="J97" s="22">
        <f t="shared" si="43"/>
        <v>0.265300274825411</v>
      </c>
      <c r="K97" s="22">
        <f t="shared" si="43"/>
        <v>0.261655719991456</v>
      </c>
      <c r="L97" s="22">
        <f t="shared" si="43"/>
        <v>0.253496567794112</v>
      </c>
      <c r="M97" s="22">
        <f t="shared" si="43"/>
        <v>0.267821409578626</v>
      </c>
    </row>
    <row r="98" spans="1:13">
      <c r="A98" s="21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spans="1:13">
      <c r="A99" s="28" t="s">
        <v>201</v>
      </c>
      <c r="B99" s="16"/>
      <c r="C99" s="16"/>
      <c r="D99" s="29">
        <f>D28/E28-1</f>
        <v>0.185611606330109</v>
      </c>
      <c r="E99" s="29">
        <f t="shared" ref="E99:L99" si="44">E28/F28-1</f>
        <v>0.180796424350056</v>
      </c>
      <c r="F99" s="29">
        <f t="shared" si="44"/>
        <v>0.188720150916903</v>
      </c>
      <c r="G99" s="29">
        <f t="shared" si="44"/>
        <v>0.184297718284733</v>
      </c>
      <c r="H99" s="29">
        <f t="shared" si="44"/>
        <v>-0.0541196343208126</v>
      </c>
      <c r="I99" s="29">
        <f t="shared" si="44"/>
        <v>0.0443198761643724</v>
      </c>
      <c r="J99" s="29">
        <f t="shared" si="44"/>
        <v>0.0930643171858194</v>
      </c>
      <c r="K99" s="29">
        <f t="shared" si="44"/>
        <v>0.116653219755869</v>
      </c>
      <c r="L99" s="29">
        <f t="shared" si="44"/>
        <v>0.227373728087936</v>
      </c>
      <c r="M99" s="29"/>
    </row>
    <row r="100" spans="1:13">
      <c r="A100" s="28" t="s">
        <v>202</v>
      </c>
      <c r="B100" s="16"/>
      <c r="C100" s="16"/>
      <c r="D100" s="29">
        <f>D63/E63-1</f>
        <v>0.333077639666854</v>
      </c>
      <c r="E100" s="29">
        <f t="shared" ref="E100:L100" si="45">E63/F63-1</f>
        <v>0.184378351912078</v>
      </c>
      <c r="F100" s="29">
        <f t="shared" si="45"/>
        <v>0.512193665193677</v>
      </c>
      <c r="G100" s="29">
        <f t="shared" si="45"/>
        <v>0.209559414594234</v>
      </c>
      <c r="H100" s="29">
        <f t="shared" si="45"/>
        <v>-0.103420426395474</v>
      </c>
      <c r="I100" s="29">
        <f t="shared" si="45"/>
        <v>-0.294360763552114</v>
      </c>
      <c r="J100" s="29">
        <f t="shared" si="45"/>
        <v>0.30459220683785</v>
      </c>
      <c r="K100" s="29">
        <f t="shared" si="45"/>
        <v>0.00175833610539899</v>
      </c>
      <c r="L100" s="29">
        <f t="shared" si="45"/>
        <v>0.205261074968855</v>
      </c>
      <c r="M100" s="29"/>
    </row>
    <row r="101" spans="1:13">
      <c r="E101" s="30"/>
      <c r="F101" s="30"/>
      <c r="G101" s="30"/>
      <c r="H101" s="30"/>
      <c r="I101" s="30"/>
      <c r="J101" s="30"/>
      <c r="K101" s="30"/>
      <c r="L101" s="30"/>
      <c r="M101" s="30"/>
    </row>
    <row r="102" spans="1:13">
      <c r="A102" s="13" t="s">
        <v>203</v>
      </c>
      <c r="D102" s="22">
        <f>D2/E2-1</f>
        <v>0.116964989905552</v>
      </c>
      <c r="E102" s="22">
        <f t="shared" ref="E102:L102" si="46">E2/F2-1</f>
        <v>0.115485474833741</v>
      </c>
      <c r="F102" s="22">
        <f t="shared" si="46"/>
        <v>0.133585329980795</v>
      </c>
      <c r="G102" s="22">
        <f t="shared" si="46"/>
        <v>0.16555618423659</v>
      </c>
      <c r="H102" s="22">
        <f t="shared" si="46"/>
        <v>-0.0103706671634695</v>
      </c>
      <c r="I102" s="22">
        <f t="shared" si="46"/>
        <v>0.125711388552774</v>
      </c>
      <c r="J102" s="22">
        <f t="shared" si="46"/>
        <v>0.0804971282542595</v>
      </c>
      <c r="K102" s="22">
        <f t="shared" si="46"/>
        <v>0.068809457555733</v>
      </c>
      <c r="L102" s="22">
        <f t="shared" si="46"/>
        <v>0.212042652330248</v>
      </c>
      <c r="M102" s="22"/>
    </row>
    <row r="103" spans="1:13">
      <c r="A103" s="6" t="s">
        <v>153</v>
      </c>
      <c r="B103" s="30"/>
      <c r="C103" s="30"/>
      <c r="D103" s="22">
        <f>(D3-E3)/(D2-E2)*D102</f>
        <v>0.0154489655769693</v>
      </c>
      <c r="E103" s="22">
        <f t="shared" ref="E103:L103" si="47">(E3-F3)/(E2-F2)*E102</f>
        <v>0.0329669731985438</v>
      </c>
      <c r="F103" s="22">
        <f t="shared" si="47"/>
        <v>0.060678749553169</v>
      </c>
      <c r="G103" s="22">
        <f t="shared" si="47"/>
        <v>0.131060074183135</v>
      </c>
      <c r="H103" s="22">
        <f t="shared" si="47"/>
        <v>0.0105684768706508</v>
      </c>
      <c r="I103" s="22">
        <f t="shared" si="47"/>
        <v>0.0928017694591996</v>
      </c>
      <c r="J103" s="22">
        <f t="shared" si="47"/>
        <v>-0.00103105435669672</v>
      </c>
      <c r="K103" s="22">
        <f t="shared" si="47"/>
        <v>-0.0127048406842617</v>
      </c>
      <c r="L103" s="22">
        <f t="shared" si="47"/>
        <v>0.0525258436949797</v>
      </c>
      <c r="M103" s="22"/>
    </row>
    <row r="104" spans="1:13">
      <c r="A104" s="6" t="s">
        <v>154</v>
      </c>
      <c r="B104" s="30"/>
      <c r="C104" s="30"/>
      <c r="D104" s="22">
        <f>(D4-E4)/(D2-E2)*D102</f>
        <v>0.00444257301207329</v>
      </c>
      <c r="E104" s="22">
        <f t="shared" ref="E104:L104" si="48">(E4-F4)/(E2-F2)*E102</f>
        <v>-0.00108365161392889</v>
      </c>
      <c r="F104" s="22">
        <f t="shared" si="48"/>
        <v>0.000657863587446734</v>
      </c>
      <c r="G104" s="22">
        <f t="shared" si="48"/>
        <v>0.000869147558047343</v>
      </c>
      <c r="H104" s="22">
        <f t="shared" si="48"/>
        <v>0.00167267517406667</v>
      </c>
      <c r="I104" s="22">
        <f t="shared" si="48"/>
        <v>-0.000172015759404083</v>
      </c>
      <c r="J104" s="22">
        <f t="shared" si="48"/>
        <v>0.0034528505695914</v>
      </c>
      <c r="K104" s="22">
        <f t="shared" si="48"/>
        <v>-0.000201449713369462</v>
      </c>
      <c r="L104" s="22">
        <f t="shared" si="48"/>
        <v>0.00223559368418483</v>
      </c>
      <c r="M104" s="22"/>
    </row>
    <row r="105" spans="1:13">
      <c r="A105" s="6" t="s">
        <v>155</v>
      </c>
      <c r="D105" s="22">
        <f>(D5-E5)/(D2-E2)*D102</f>
        <v>0.0343821116097727</v>
      </c>
      <c r="E105" s="22">
        <f t="shared" ref="E105:L105" si="49">(E5-F5)/(E2-F2)*E102</f>
        <v>0.0376688949729983</v>
      </c>
      <c r="F105" s="22">
        <f t="shared" si="49"/>
        <v>0.0470081568834879</v>
      </c>
      <c r="G105" s="22">
        <f t="shared" si="49"/>
        <v>0.0380364023436441</v>
      </c>
      <c r="H105" s="22">
        <f t="shared" si="49"/>
        <v>0.00507502485415765</v>
      </c>
      <c r="I105" s="22">
        <f t="shared" si="49"/>
        <v>-0.0163044845378883</v>
      </c>
      <c r="J105" s="22">
        <f t="shared" si="49"/>
        <v>0.0110555440981468</v>
      </c>
      <c r="K105" s="22">
        <f t="shared" si="49"/>
        <v>0.0245176936607357</v>
      </c>
      <c r="L105" s="22">
        <f t="shared" si="49"/>
        <v>0.0534433235399486</v>
      </c>
      <c r="M105" s="22"/>
    </row>
    <row r="106" spans="1:13">
      <c r="A106" s="6" t="s">
        <v>31</v>
      </c>
      <c r="D106" s="22">
        <f>(D9-E9)/(D2-E2)*D102</f>
        <v>0.0626913397067372</v>
      </c>
      <c r="E106" s="22">
        <f t="shared" ref="E106:L106" si="50">(E9-F9)/(E2-F2)*E102</f>
        <v>0.0459332582761276</v>
      </c>
      <c r="F106" s="22">
        <f t="shared" si="50"/>
        <v>0.0252405599566913</v>
      </c>
      <c r="G106" s="22">
        <f t="shared" si="50"/>
        <v>-0.00440943984823564</v>
      </c>
      <c r="H106" s="22">
        <f t="shared" si="50"/>
        <v>-0.0276868440623445</v>
      </c>
      <c r="I106" s="22">
        <f t="shared" si="50"/>
        <v>0.0493861193908671</v>
      </c>
      <c r="J106" s="22">
        <f t="shared" si="50"/>
        <v>0.067019787943218</v>
      </c>
      <c r="K106" s="22">
        <f t="shared" si="50"/>
        <v>0.0571980542926284</v>
      </c>
      <c r="L106" s="22">
        <f t="shared" si="50"/>
        <v>0.103837891411135</v>
      </c>
      <c r="M106" s="22"/>
    </row>
    <row r="107" spans="1:13">
      <c r="A107" s="13" t="s">
        <v>204</v>
      </c>
      <c r="D107" s="22">
        <f>D14/E14-1</f>
        <v>0.136073445317073</v>
      </c>
      <c r="E107" s="22">
        <f t="shared" ref="E107:L107" si="51">E14/F14-1</f>
        <v>0.0835862867251107</v>
      </c>
      <c r="F107" s="22">
        <f t="shared" si="51"/>
        <v>0.102463799762222</v>
      </c>
      <c r="G107" s="22">
        <f t="shared" si="51"/>
        <v>0.217832299869847</v>
      </c>
      <c r="H107" s="22">
        <f t="shared" si="51"/>
        <v>0.0103806883684554</v>
      </c>
      <c r="I107" s="22">
        <f t="shared" si="51"/>
        <v>0.0584059611970789</v>
      </c>
      <c r="J107" s="22">
        <f t="shared" si="51"/>
        <v>0.0740509783922265</v>
      </c>
      <c r="K107" s="22">
        <f t="shared" si="51"/>
        <v>0.0420946356580789</v>
      </c>
      <c r="L107" s="22">
        <f t="shared" si="51"/>
        <v>0.0989017844506035</v>
      </c>
      <c r="M107" s="22"/>
    </row>
    <row r="108" spans="1:13">
      <c r="A108" s="6" t="s">
        <v>161</v>
      </c>
      <c r="D108" s="25">
        <f>(D15-E15)/(D14-E14)*D107</f>
        <v>0</v>
      </c>
      <c r="E108" s="25">
        <f t="shared" ref="E108:L108" si="52">(E15-F15)/(E14-F14)*E107</f>
        <v>0</v>
      </c>
      <c r="F108" s="25">
        <f t="shared" si="52"/>
        <v>0</v>
      </c>
      <c r="G108" s="25">
        <f t="shared" si="52"/>
        <v>0.16576257957124</v>
      </c>
      <c r="H108" s="25">
        <f t="shared" si="52"/>
        <v>-7.75522335058648e-6</v>
      </c>
      <c r="I108" s="25">
        <f t="shared" si="52"/>
        <v>0</v>
      </c>
      <c r="J108" s="25">
        <f t="shared" si="52"/>
        <v>-5.61201826904235e-5</v>
      </c>
      <c r="K108" s="25">
        <f t="shared" si="52"/>
        <v>-0.000256118206686967</v>
      </c>
      <c r="L108" s="25">
        <f t="shared" si="52"/>
        <v>-1.09262427138498e-5</v>
      </c>
      <c r="M108" s="25"/>
    </row>
    <row r="109" spans="1:13">
      <c r="A109" s="6" t="s">
        <v>67</v>
      </c>
      <c r="D109" s="25">
        <f>(D16-E16)/(D14-E14)*D107</f>
        <v>0.115207937040249</v>
      </c>
      <c r="E109" s="25">
        <f t="shared" ref="E109:L109" si="53">(E16-F16)/(E14-F14)*E107</f>
        <v>0.0695925442774237</v>
      </c>
      <c r="F109" s="25">
        <f t="shared" si="53"/>
        <v>0.0663383301326999</v>
      </c>
      <c r="G109" s="25">
        <f t="shared" si="53"/>
        <v>0.0435339969287473</v>
      </c>
      <c r="H109" s="25">
        <f t="shared" si="53"/>
        <v>0.0223151254071949</v>
      </c>
      <c r="I109" s="25">
        <f t="shared" si="53"/>
        <v>0.0335996161658991</v>
      </c>
      <c r="J109" s="25">
        <f t="shared" si="53"/>
        <v>0.0424535982154547</v>
      </c>
      <c r="K109" s="25">
        <f t="shared" si="53"/>
        <v>0.0433181399944064</v>
      </c>
      <c r="L109" s="25">
        <f t="shared" si="53"/>
        <v>0.0591848665385895</v>
      </c>
      <c r="M109" s="25"/>
    </row>
    <row r="110" spans="1:13">
      <c r="A110" s="13" t="s">
        <v>205</v>
      </c>
      <c r="D110" s="25">
        <f>D10/E10-1</f>
        <v>0.0931646875510483</v>
      </c>
      <c r="E110" s="25">
        <f t="shared" ref="E110:L110" si="54">E10/F10-1</f>
        <v>0.157943560841694</v>
      </c>
      <c r="F110" s="25">
        <f t="shared" si="54"/>
        <v>0.177840484908013</v>
      </c>
      <c r="G110" s="25">
        <f t="shared" si="54"/>
        <v>0.0985029148726506</v>
      </c>
      <c r="H110" s="25">
        <f t="shared" si="54"/>
        <v>-0.0357720749893181</v>
      </c>
      <c r="I110" s="25">
        <f t="shared" si="54"/>
        <v>0.220734760209699</v>
      </c>
      <c r="J110" s="25">
        <f t="shared" si="54"/>
        <v>0.0897308138804522</v>
      </c>
      <c r="K110" s="25">
        <f t="shared" si="54"/>
        <v>0.109553883865674</v>
      </c>
      <c r="L110" s="25">
        <f t="shared" si="54"/>
        <v>0.406019169883726</v>
      </c>
      <c r="M110" s="25"/>
    </row>
    <row r="111" spans="1:13">
      <c r="A111" s="6" t="s">
        <v>158</v>
      </c>
      <c r="D111" s="25">
        <f>(D11-E11)/(D10-E10)*D110</f>
        <v>-0.00681050537146113</v>
      </c>
      <c r="E111" s="25">
        <f t="shared" ref="E111:L111" si="55">(E11-F11)/(E10-F10)*E110</f>
        <v>0.00218014874534241</v>
      </c>
      <c r="F111" s="25">
        <f t="shared" si="55"/>
        <v>0.00366930343357722</v>
      </c>
      <c r="G111" s="25">
        <f t="shared" si="55"/>
        <v>0.00638369731660339</v>
      </c>
      <c r="H111" s="25">
        <f t="shared" si="55"/>
        <v>0.00348749826309828</v>
      </c>
      <c r="I111" s="25">
        <f t="shared" si="55"/>
        <v>0.00705545875236342</v>
      </c>
      <c r="J111" s="25">
        <f t="shared" si="55"/>
        <v>0.0115994763119211</v>
      </c>
      <c r="K111" s="25">
        <f t="shared" si="55"/>
        <v>0.0355827034235356</v>
      </c>
      <c r="L111" s="25">
        <f t="shared" si="55"/>
        <v>-0.00149192234810984</v>
      </c>
      <c r="M111" s="25"/>
    </row>
    <row r="112" spans="1:13">
      <c r="A112" s="6" t="s">
        <v>159</v>
      </c>
      <c r="D112" s="31">
        <f>(D12-E12)/(D10-E10)*D110</f>
        <v>0.0111069948863737</v>
      </c>
      <c r="E112" s="31">
        <f t="shared" ref="E112:L112" si="56">(E12-F12)/(E10-F10)*E110</f>
        <v>0.0628708618919253</v>
      </c>
      <c r="F112" s="31">
        <f t="shared" si="56"/>
        <v>0.0543777110293983</v>
      </c>
      <c r="G112" s="31">
        <f t="shared" si="56"/>
        <v>0.0405292490268259</v>
      </c>
      <c r="H112" s="31">
        <f t="shared" si="56"/>
        <v>0.0211194135052401</v>
      </c>
      <c r="I112" s="31">
        <f t="shared" si="56"/>
        <v>-0.0257353711981006</v>
      </c>
      <c r="J112" s="31">
        <f t="shared" si="56"/>
        <v>0.00489619252677012</v>
      </c>
      <c r="K112" s="31">
        <f t="shared" si="56"/>
        <v>0.0411669973090186</v>
      </c>
      <c r="L112" s="31">
        <f t="shared" si="56"/>
        <v>0.0647808946476732</v>
      </c>
      <c r="M112" s="31"/>
    </row>
    <row r="113" spans="1:13">
      <c r="A113" s="6" t="s">
        <v>206</v>
      </c>
      <c r="D113" s="31">
        <f>(D13-E13)/(D10-E10)*D110</f>
        <v>0.0182153559076318</v>
      </c>
      <c r="E113" s="31">
        <f t="shared" ref="E113:L113" si="57">(E13-F13)/(E10-F10)*E110</f>
        <v>0.0699710895078409</v>
      </c>
      <c r="F113" s="31">
        <f t="shared" si="57"/>
        <v>0.0976898527819244</v>
      </c>
      <c r="G113" s="31">
        <f t="shared" si="57"/>
        <v>0.0458073333862087</v>
      </c>
      <c r="H113" s="31">
        <f t="shared" si="57"/>
        <v>-0.0543549090970861</v>
      </c>
      <c r="I113" s="31">
        <f t="shared" si="57"/>
        <v>0.208396688121478</v>
      </c>
      <c r="J113" s="31">
        <f t="shared" si="57"/>
        <v>0.0367919676610196</v>
      </c>
      <c r="K113" s="31">
        <f t="shared" si="57"/>
        <v>0.0558029183078879</v>
      </c>
      <c r="L113" s="31">
        <f t="shared" si="57"/>
        <v>0.299318583480525</v>
      </c>
      <c r="M113" s="31"/>
    </row>
    <row r="114" spans="1:13">
      <c r="B114" s="32"/>
      <c r="C114" s="32"/>
    </row>
    <row r="115" spans="1:13">
      <c r="A115" s="33" t="s">
        <v>207</v>
      </c>
      <c r="B115" s="29"/>
      <c r="C115" s="29"/>
      <c r="D115" s="29">
        <f>D59/D14</f>
        <v>0.200957755226756</v>
      </c>
      <c r="E115" s="29">
        <f t="shared" ref="E115:M115" si="58">E59/E14</f>
        <v>0.16884025749662</v>
      </c>
      <c r="F115" s="29">
        <f t="shared" si="58"/>
        <v>0.154947336203276</v>
      </c>
      <c r="G115" s="29">
        <f t="shared" si="58"/>
        <v>0.106733763544119</v>
      </c>
      <c r="H115" s="29">
        <f t="shared" si="58"/>
        <v>0.119294430078841</v>
      </c>
      <c r="I115" s="29">
        <f t="shared" si="58"/>
        <v>0.135090186072247</v>
      </c>
      <c r="J115" s="29">
        <f t="shared" si="58"/>
        <v>0.15965901389799</v>
      </c>
      <c r="K115" s="29">
        <f t="shared" si="58"/>
        <v>0.150079658961683</v>
      </c>
      <c r="L115" s="29">
        <f t="shared" si="58"/>
        <v>0.156551735613816</v>
      </c>
      <c r="M115" s="29">
        <f t="shared" si="58"/>
        <v>0.146778384844248</v>
      </c>
    </row>
    <row r="116" ht="17.6" spans="1:13">
      <c r="A116" s="34" t="s">
        <v>208</v>
      </c>
      <c r="B116" s="29"/>
      <c r="C116" s="29"/>
      <c r="D116" s="29">
        <f>D59/D50</f>
        <v>0.185254778123662</v>
      </c>
      <c r="E116" s="29">
        <f t="shared" ref="E116:M116" si="59">E59/E50</f>
        <v>0.162433905536508</v>
      </c>
      <c r="F116" s="29">
        <f t="shared" si="59"/>
        <v>0.162441250572929</v>
      </c>
      <c r="G116" s="29">
        <f t="shared" si="59"/>
        <v>0.120650553910016</v>
      </c>
      <c r="H116" s="29">
        <f t="shared" si="59"/>
        <v>0.131135738867804</v>
      </c>
      <c r="I116" s="29">
        <f t="shared" si="59"/>
        <v>0.139019548751732</v>
      </c>
      <c r="J116" s="29">
        <f t="shared" si="59"/>
        <v>0.162116337555088</v>
      </c>
      <c r="K116" s="29">
        <f t="shared" si="59"/>
        <v>0.15508721509685</v>
      </c>
      <c r="L116" s="29">
        <f t="shared" si="59"/>
        <v>0.173349747043278</v>
      </c>
      <c r="M116" s="29">
        <f t="shared" si="59"/>
        <v>0.181528732068621</v>
      </c>
    </row>
    <row r="117" spans="1:13">
      <c r="A117" s="35" t="s">
        <v>209</v>
      </c>
      <c r="B117" s="36"/>
      <c r="C117" s="36"/>
      <c r="D117" s="36">
        <f>D28/D2</f>
        <v>0.611982119237232</v>
      </c>
      <c r="E117" s="36">
        <f t="shared" ref="E117:M117" si="60">E28/E2</f>
        <v>0.576548507105176</v>
      </c>
      <c r="F117" s="36">
        <f t="shared" si="60"/>
        <v>0.544659072428085</v>
      </c>
      <c r="G117" s="36">
        <f t="shared" si="60"/>
        <v>0.519396877279474</v>
      </c>
      <c r="H117" s="36">
        <f t="shared" si="60"/>
        <v>0.51117741176017</v>
      </c>
      <c r="I117" s="36">
        <f t="shared" si="60"/>
        <v>0.534820448036341</v>
      </c>
      <c r="J117" s="36">
        <f t="shared" si="60"/>
        <v>0.576502930688878</v>
      </c>
      <c r="K117" s="36">
        <f t="shared" si="60"/>
        <v>0.569874755991694</v>
      </c>
      <c r="L117" s="36">
        <f t="shared" si="60"/>
        <v>0.545458086763366</v>
      </c>
      <c r="M117" s="36">
        <f t="shared" si="60"/>
        <v>0.538644791790985</v>
      </c>
    </row>
    <row r="118" spans="1:13">
      <c r="A118" s="35" t="s">
        <v>210</v>
      </c>
      <c r="B118" s="36"/>
      <c r="C118" s="36"/>
      <c r="D118" s="36">
        <f>D2/D14</f>
        <v>1.77254234675332</v>
      </c>
      <c r="E118" s="36">
        <f t="shared" ref="E118:M118" si="61">E2/E14</f>
        <v>1.80286607820781</v>
      </c>
      <c r="F118" s="36">
        <f t="shared" si="61"/>
        <v>1.75131008266965</v>
      </c>
      <c r="G118" s="36">
        <f t="shared" si="61"/>
        <v>1.70322949427599</v>
      </c>
      <c r="H118" s="36">
        <f t="shared" si="61"/>
        <v>1.7796206826176</v>
      </c>
      <c r="I118" s="36">
        <f t="shared" si="61"/>
        <v>1.8169372215192</v>
      </c>
      <c r="J118" s="36">
        <f t="shared" si="61"/>
        <v>1.7083039275716</v>
      </c>
      <c r="K118" s="36">
        <f t="shared" si="61"/>
        <v>1.69811233812719</v>
      </c>
      <c r="L118" s="36">
        <f t="shared" si="61"/>
        <v>1.65566813223569</v>
      </c>
      <c r="M118" s="36">
        <f t="shared" si="61"/>
        <v>1.50111603867556</v>
      </c>
    </row>
    <row r="119" spans="1:13">
      <c r="A119" s="5"/>
      <c r="D119" s="30"/>
      <c r="E119" s="30"/>
      <c r="F119" s="30"/>
      <c r="G119" s="30"/>
      <c r="H119" s="30"/>
      <c r="I119" s="30"/>
      <c r="J119" s="30"/>
      <c r="K119" s="30"/>
      <c r="L119" s="30"/>
      <c r="M119" s="30"/>
    </row>
    <row r="120" spans="1:13">
      <c r="A120" s="33" t="s">
        <v>211</v>
      </c>
      <c r="B120" s="36">
        <f t="shared" ref="B120:D120" si="62">B64/B26</f>
        <v>0</v>
      </c>
      <c r="C120" s="36">
        <f t="shared" si="62"/>
        <v>0</v>
      </c>
      <c r="D120" s="36">
        <f t="shared" si="62"/>
        <v>1.8</v>
      </c>
      <c r="E120" s="36">
        <f t="shared" ref="E120:M120" si="63">E64/E26</f>
        <v>1.3</v>
      </c>
      <c r="F120" s="36">
        <f t="shared" si="63"/>
        <v>1.25</v>
      </c>
      <c r="G120" s="36">
        <f t="shared" si="63"/>
        <v>1</v>
      </c>
      <c r="H120" s="36">
        <f t="shared" si="63"/>
        <v>0.78023358444742</v>
      </c>
      <c r="I120" s="36">
        <f t="shared" si="63"/>
        <v>0.75</v>
      </c>
      <c r="J120" s="36">
        <f t="shared" si="63"/>
        <v>1.15000000007973</v>
      </c>
      <c r="K120" s="36">
        <f t="shared" si="63"/>
        <v>0.75</v>
      </c>
      <c r="L120" s="36">
        <f t="shared" si="63"/>
        <v>0.75</v>
      </c>
      <c r="M120" s="36">
        <f t="shared" si="63"/>
        <v>0.75</v>
      </c>
    </row>
    <row r="121" ht="17.6" spans="1:13">
      <c r="A121" s="37" t="s">
        <v>212</v>
      </c>
      <c r="B121" s="36">
        <f t="shared" ref="B121:D121" si="64">B59/B26</f>
        <v>3.57225885397845</v>
      </c>
      <c r="C121" s="36">
        <f t="shared" si="64"/>
        <v>3.16007514005786</v>
      </c>
      <c r="D121" s="36">
        <f t="shared" si="64"/>
        <v>2.74789142613727</v>
      </c>
      <c r="E121" s="36">
        <f t="shared" ref="E121:M121" si="65">E59/E26</f>
        <v>2.03219039915988</v>
      </c>
      <c r="F121" s="36">
        <f t="shared" si="65"/>
        <v>1.72111148889706</v>
      </c>
      <c r="G121" s="36">
        <f t="shared" si="65"/>
        <v>1.07538103862997</v>
      </c>
      <c r="H121" s="36">
        <f t="shared" si="65"/>
        <v>1.02673083805906</v>
      </c>
      <c r="I121" s="36">
        <f t="shared" si="65"/>
        <v>1.15073468242029</v>
      </c>
      <c r="J121" s="36">
        <f t="shared" si="65"/>
        <v>1.28496875664823</v>
      </c>
      <c r="K121" s="36">
        <f t="shared" si="65"/>
        <v>1.12459478338685</v>
      </c>
      <c r="L121" s="36">
        <f t="shared" si="65"/>
        <v>1.1257059380226</v>
      </c>
      <c r="M121" s="36">
        <f t="shared" si="65"/>
        <v>0.960440125792759</v>
      </c>
    </row>
    <row r="122" ht="17.6" spans="1:13">
      <c r="A122" s="37" t="s">
        <v>213</v>
      </c>
      <c r="B122" s="36">
        <f t="shared" ref="B122:D122" si="66">B69/B26</f>
        <v>0</v>
      </c>
      <c r="C122" s="36">
        <f t="shared" si="66"/>
        <v>0</v>
      </c>
      <c r="D122" s="36">
        <f t="shared" si="66"/>
        <v>1.82035697866422</v>
      </c>
      <c r="E122" s="36">
        <f t="shared" ref="E122:M122" si="67">E69/E26</f>
        <v>1.40888960463568</v>
      </c>
      <c r="F122" s="36">
        <f t="shared" si="67"/>
        <v>1.52030636970652</v>
      </c>
      <c r="G122" s="36">
        <f t="shared" si="67"/>
        <v>1.1748746792181</v>
      </c>
      <c r="H122" s="36">
        <f t="shared" si="67"/>
        <v>1.22294965329135</v>
      </c>
      <c r="I122" s="36">
        <f t="shared" si="67"/>
        <v>0.896445229419691</v>
      </c>
      <c r="J122" s="36">
        <f t="shared" si="67"/>
        <v>0.878013081270294</v>
      </c>
      <c r="K122" s="36">
        <f t="shared" si="67"/>
        <v>0.381341485418591</v>
      </c>
      <c r="L122" s="36">
        <f t="shared" si="67"/>
        <v>0.330789037952079</v>
      </c>
      <c r="M122" s="36">
        <f t="shared" si="67"/>
        <v>0.15301552911255</v>
      </c>
    </row>
    <row r="123" spans="1:13">
      <c r="A123" s="5"/>
    </row>
    <row r="124" spans="1:13">
      <c r="A124" s="13" t="s">
        <v>214</v>
      </c>
      <c r="B124">
        <v>57</v>
      </c>
      <c r="C124">
        <v>57</v>
      </c>
      <c r="D124" s="38">
        <v>64.02</v>
      </c>
      <c r="E124" s="38">
        <v>39.85</v>
      </c>
      <c r="F124" s="38">
        <v>50.37</v>
      </c>
      <c r="G124" s="38">
        <v>65.81</v>
      </c>
      <c r="H124" s="38">
        <v>49.03</v>
      </c>
      <c r="I124" s="38">
        <v>27.88</v>
      </c>
      <c r="J124" s="38">
        <v>30</v>
      </c>
      <c r="K124" s="38">
        <v>29</v>
      </c>
      <c r="L124" s="38">
        <v>19</v>
      </c>
      <c r="M124" s="38">
        <v>18</v>
      </c>
    </row>
    <row r="125" spans="1:13">
      <c r="A125" s="13" t="s">
        <v>215</v>
      </c>
      <c r="B125">
        <v>64.8</v>
      </c>
      <c r="C125">
        <v>64.8</v>
      </c>
      <c r="D125" s="38">
        <v>37.1</v>
      </c>
      <c r="E125" s="38">
        <v>32.16</v>
      </c>
      <c r="F125" s="38">
        <v>30.23</v>
      </c>
      <c r="G125" s="38">
        <v>40.47</v>
      </c>
      <c r="H125" s="38">
        <v>17.86</v>
      </c>
      <c r="I125" s="38">
        <v>20.63</v>
      </c>
      <c r="J125" s="38">
        <v>20</v>
      </c>
      <c r="K125" s="38">
        <v>17</v>
      </c>
      <c r="L125" s="38">
        <v>12</v>
      </c>
      <c r="M125" s="38">
        <v>10</v>
      </c>
    </row>
    <row r="126" spans="1:13">
      <c r="A126" s="13" t="s">
        <v>216</v>
      </c>
      <c r="B126" s="32">
        <f t="shared" ref="B126:C126" si="68">B124/B121</f>
        <v>15.9562904957234</v>
      </c>
      <c r="C126" s="32">
        <f t="shared" si="68"/>
        <v>18.0375457777742</v>
      </c>
      <c r="D126" s="32">
        <f t="shared" ref="D126:M126" si="69">D124/D121</f>
        <v>23.297863733282</v>
      </c>
      <c r="E126" s="32">
        <f t="shared" si="69"/>
        <v>19.6093830659146</v>
      </c>
      <c r="F126" s="32">
        <f t="shared" si="69"/>
        <v>29.2659716264392</v>
      </c>
      <c r="G126" s="32">
        <f t="shared" si="69"/>
        <v>61.1969131275011</v>
      </c>
      <c r="H126" s="32">
        <f t="shared" si="69"/>
        <v>47.753508692392</v>
      </c>
      <c r="I126" s="32">
        <f t="shared" si="69"/>
        <v>24.2280000993462</v>
      </c>
      <c r="J126" s="32">
        <f t="shared" si="69"/>
        <v>23.3468711552593</v>
      </c>
      <c r="K126" s="32">
        <f t="shared" si="69"/>
        <v>25.7870660867402</v>
      </c>
      <c r="L126" s="32">
        <f t="shared" si="69"/>
        <v>16.8782977492107</v>
      </c>
      <c r="M126" s="32">
        <f t="shared" si="69"/>
        <v>18.7414077323587</v>
      </c>
    </row>
    <row r="127" spans="1:13">
      <c r="A127" s="13" t="s">
        <v>216</v>
      </c>
      <c r="B127" s="32">
        <f t="shared" ref="B127:C127" si="70">B125/B121</f>
        <v>18.1397828793487</v>
      </c>
      <c r="C127" s="32">
        <f t="shared" si="70"/>
        <v>20.5058415157854</v>
      </c>
      <c r="D127" s="32">
        <f t="shared" ref="D127:M127" si="71">D125/D121</f>
        <v>13.5012612387498</v>
      </c>
      <c r="E127" s="32">
        <f t="shared" si="71"/>
        <v>15.8252888180631</v>
      </c>
      <c r="F127" s="32">
        <f t="shared" si="71"/>
        <v>17.5642311349465</v>
      </c>
      <c r="G127" s="32">
        <f t="shared" si="71"/>
        <v>37.6331723791212</v>
      </c>
      <c r="H127" s="32">
        <f t="shared" si="71"/>
        <v>17.3950166274958</v>
      </c>
      <c r="I127" s="32">
        <f t="shared" si="71"/>
        <v>17.9276772614603</v>
      </c>
      <c r="J127" s="32">
        <f t="shared" si="71"/>
        <v>15.5645807701728</v>
      </c>
      <c r="K127" s="32">
        <f t="shared" si="71"/>
        <v>15.1165559818822</v>
      </c>
      <c r="L127" s="32">
        <f t="shared" si="71"/>
        <v>10.6599775258173</v>
      </c>
      <c r="M127" s="32">
        <f t="shared" si="71"/>
        <v>10.4118931846437</v>
      </c>
    </row>
    <row r="128" spans="1:13">
      <c r="A128" s="13" t="s">
        <v>217</v>
      </c>
      <c r="B128" s="39">
        <f t="shared" ref="B128:C128" si="72">B120/B124</f>
        <v>0</v>
      </c>
      <c r="C128" s="39">
        <f t="shared" si="72"/>
        <v>0</v>
      </c>
      <c r="D128" s="39">
        <f t="shared" ref="D128:M128" si="73">D120/D124</f>
        <v>0.028116213683224</v>
      </c>
      <c r="E128" s="39">
        <f t="shared" si="73"/>
        <v>0.0326223337515684</v>
      </c>
      <c r="F128" s="39">
        <f t="shared" si="73"/>
        <v>0.0248163589438158</v>
      </c>
      <c r="G128" s="39">
        <f t="shared" si="73"/>
        <v>0.0151952590791673</v>
      </c>
      <c r="H128" s="39">
        <f t="shared" si="73"/>
        <v>0.0159133914837328</v>
      </c>
      <c r="I128" s="39">
        <f t="shared" si="73"/>
        <v>0.0269010043041607</v>
      </c>
      <c r="J128" s="39">
        <f t="shared" si="73"/>
        <v>0.0383333333359908</v>
      </c>
      <c r="K128" s="39">
        <f t="shared" si="73"/>
        <v>0.0258620689655172</v>
      </c>
      <c r="L128" s="39">
        <f t="shared" si="73"/>
        <v>0.0394736842105263</v>
      </c>
      <c r="M128" s="39">
        <f t="shared" si="73"/>
        <v>0.0416666666666667</v>
      </c>
    </row>
    <row r="129" spans="1:13">
      <c r="A129" s="13" t="s">
        <v>217</v>
      </c>
      <c r="B129" s="39">
        <f t="shared" ref="B129:C129" si="74">B120/B125</f>
        <v>0</v>
      </c>
      <c r="C129" s="39">
        <f t="shared" si="74"/>
        <v>0</v>
      </c>
      <c r="D129" s="39">
        <f t="shared" ref="D129:M129" si="75">D120/D125</f>
        <v>0.0485175202156334</v>
      </c>
      <c r="E129" s="39">
        <f t="shared" si="75"/>
        <v>0.0404228855721393</v>
      </c>
      <c r="F129" s="39">
        <f t="shared" si="75"/>
        <v>0.0413496526629176</v>
      </c>
      <c r="G129" s="39">
        <f t="shared" si="75"/>
        <v>0.0247096614776378</v>
      </c>
      <c r="H129" s="39">
        <f t="shared" si="75"/>
        <v>0.0436860909545028</v>
      </c>
      <c r="I129" s="39">
        <f t="shared" si="75"/>
        <v>0.0363548230731944</v>
      </c>
      <c r="J129" s="39">
        <f t="shared" si="75"/>
        <v>0.0575000000039863</v>
      </c>
      <c r="K129" s="39">
        <f t="shared" si="75"/>
        <v>0.0441176470588235</v>
      </c>
      <c r="L129" s="39">
        <f t="shared" si="75"/>
        <v>0.0625</v>
      </c>
      <c r="M129" s="39">
        <f t="shared" si="75"/>
        <v>0.075</v>
      </c>
    </row>
    <row r="132" spans="1:13">
      <c r="A132" s="13" t="s">
        <v>218</v>
      </c>
      <c r="B132" s="8">
        <f t="shared" ref="B132:D132" si="76">B124*B26</f>
        <v>148755381324</v>
      </c>
      <c r="C132" s="8">
        <f t="shared" si="76"/>
        <v>148755381324</v>
      </c>
      <c r="D132" s="8">
        <f t="shared" si="76"/>
        <v>167075780918.64</v>
      </c>
      <c r="E132" s="8">
        <f t="shared" ref="E132:M132" si="77">E124*E26</f>
        <v>103998279750.2</v>
      </c>
      <c r="F132" s="8">
        <f t="shared" si="77"/>
        <v>131452781706.84</v>
      </c>
      <c r="G132" s="8">
        <f t="shared" si="77"/>
        <v>171747221840.92</v>
      </c>
      <c r="H132" s="8">
        <f t="shared" si="77"/>
        <v>122997517593.96</v>
      </c>
      <c r="I132" s="8">
        <f t="shared" si="77"/>
        <v>69940256792.16</v>
      </c>
      <c r="J132" s="8">
        <f t="shared" si="77"/>
        <v>75258525960</v>
      </c>
      <c r="K132" s="8">
        <f t="shared" si="77"/>
        <v>72749908428</v>
      </c>
      <c r="L132" s="8">
        <f t="shared" si="77"/>
        <v>47663733108</v>
      </c>
      <c r="M132" s="8">
        <f t="shared" si="77"/>
        <v>45155115576</v>
      </c>
    </row>
    <row r="133" spans="1:13">
      <c r="A133" s="13" t="s">
        <v>218</v>
      </c>
      <c r="B133" s="8">
        <f t="shared" ref="B133:D133" si="78">B125*B26</f>
        <v>169111380873.6</v>
      </c>
      <c r="C133" s="8">
        <f t="shared" si="78"/>
        <v>169111380873.6</v>
      </c>
      <c r="D133" s="8">
        <f t="shared" si="78"/>
        <v>96821485037.2</v>
      </c>
      <c r="E133" s="8">
        <f t="shared" ref="E133:M133" si="79">E125*E26</f>
        <v>83929351989.12</v>
      </c>
      <c r="F133" s="8">
        <f t="shared" si="79"/>
        <v>78892546972.36</v>
      </c>
      <c r="G133" s="8">
        <f t="shared" si="79"/>
        <v>105616320740.04</v>
      </c>
      <c r="H133" s="8">
        <f t="shared" si="79"/>
        <v>44803909121.52</v>
      </c>
      <c r="I133" s="8">
        <f t="shared" si="79"/>
        <v>51752779685.16</v>
      </c>
      <c r="J133" s="8">
        <f t="shared" si="79"/>
        <v>50172350640</v>
      </c>
      <c r="K133" s="8">
        <f t="shared" si="79"/>
        <v>42646498044</v>
      </c>
      <c r="L133" s="8">
        <f t="shared" si="79"/>
        <v>30103410384</v>
      </c>
      <c r="M133" s="8">
        <f t="shared" si="79"/>
        <v>25086175320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balance</vt:lpstr>
      <vt:lpstr>损益现金流</vt:lpstr>
      <vt:lpstr>收入成本</vt:lpstr>
      <vt:lpstr>Beta_04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 Cui</dc:creator>
  <cp:lastModifiedBy>崔勤</cp:lastModifiedBy>
  <dcterms:created xsi:type="dcterms:W3CDTF">2025-07-12T12:24:00Z</dcterms:created>
  <dcterms:modified xsi:type="dcterms:W3CDTF">2026-02-03T17:34:33Z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A9AB365D8AA041AFB0E55315271EF358_12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