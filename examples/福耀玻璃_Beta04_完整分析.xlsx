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ta_0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color rgb="FF008000"/>
    </font>
    <font/>
    <font>
      <color rgb="FF000000"/>
    </font>
    <font>
      <color rgb="FF0000FF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3" fontId="4" fillId="0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3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B1" t="inlineStr">
        <is>
          <t>定价</t>
        </is>
      </c>
      <c r="C1" t="inlineStr">
        <is>
          <t>定价</t>
        </is>
      </c>
      <c r="D1" s="1" t="inlineStr">
        <is>
          <t>2024</t>
        </is>
      </c>
      <c r="E1" s="1" t="inlineStr">
        <is>
          <t>2023</t>
        </is>
      </c>
      <c r="F1" s="1" t="inlineStr">
        <is>
          <t>2022</t>
        </is>
      </c>
      <c r="G1" s="1" t="inlineStr">
        <is>
          <t>2021</t>
        </is>
      </c>
      <c r="H1" s="1" t="inlineStr">
        <is>
          <t>2020</t>
        </is>
      </c>
      <c r="I1" s="1" t="inlineStr">
        <is>
          <t>2019</t>
        </is>
      </c>
      <c r="J1" s="1" t="inlineStr">
        <is>
          <t>2018</t>
        </is>
      </c>
    </row>
    <row r="2">
      <c r="A2" s="2" t="inlineStr">
        <is>
          <t>资产</t>
        </is>
      </c>
      <c r="D2" s="3" t="n">
        <v>63254182536</v>
      </c>
      <c r="E2" s="3" t="n">
        <v>56630407495</v>
      </c>
      <c r="F2" s="3" t="n">
        <v>50767498791</v>
      </c>
      <c r="G2" s="3" t="n">
        <v>44784893954</v>
      </c>
      <c r="H2" s="3" t="n">
        <v>38423625184</v>
      </c>
      <c r="I2" s="3" t="n">
        <v>38826279607</v>
      </c>
      <c r="J2" s="3" t="n">
        <v>34490438670</v>
      </c>
    </row>
    <row r="3">
      <c r="A3" s="4" t="inlineStr">
        <is>
          <t>现金</t>
        </is>
      </c>
      <c r="D3" s="3" t="n">
        <v>20713712160</v>
      </c>
      <c r="E3" s="3" t="n">
        <v>19838830944</v>
      </c>
      <c r="F3" s="3" t="n">
        <v>18165180172</v>
      </c>
      <c r="G3" s="3" t="n">
        <v>15447688808</v>
      </c>
      <c r="H3" s="3" t="n">
        <v>10411885641</v>
      </c>
      <c r="I3" s="3" t="n">
        <v>10001551003</v>
      </c>
      <c r="J3" s="3" t="n">
        <v>6800777265</v>
      </c>
    </row>
    <row r="4">
      <c r="A4" s="4" t="inlineStr">
        <is>
          <t>投资</t>
        </is>
      </c>
      <c r="D4" s="3" t="n">
        <v>524177494</v>
      </c>
      <c r="E4" s="3" t="n">
        <v>272592774</v>
      </c>
      <c r="F4" s="3" t="n">
        <v>327607056</v>
      </c>
      <c r="G4" s="3" t="n">
        <v>298144705</v>
      </c>
      <c r="H4" s="3" t="n">
        <v>264748905</v>
      </c>
      <c r="I4" s="3" t="n">
        <v>199805151</v>
      </c>
      <c r="J4" s="3" t="n">
        <v>205738050</v>
      </c>
    </row>
    <row r="5">
      <c r="A5" s="4" t="inlineStr">
        <is>
          <t>运营资产</t>
        </is>
      </c>
      <c r="D5" s="3" t="n">
        <v>16094542311</v>
      </c>
      <c r="E5" s="3" t="n">
        <v>14147469320</v>
      </c>
      <c r="F5" s="3" t="n">
        <v>12235113740</v>
      </c>
      <c r="G5" s="3" t="n">
        <v>10129858419</v>
      </c>
      <c r="H5" s="3" t="n">
        <v>8668361952</v>
      </c>
      <c r="I5" s="3" t="n">
        <v>8471317618</v>
      </c>
      <c r="J5" s="3" t="n">
        <v>9033666442</v>
      </c>
    </row>
    <row r="6">
      <c r="A6" s="4" t="inlineStr">
        <is>
          <t>应收</t>
        </is>
      </c>
      <c r="D6" s="3" t="n">
        <v>8969464994</v>
      </c>
      <c r="E6" s="3" t="n">
        <v>7496008772</v>
      </c>
      <c r="F6" s="3" t="n">
        <v>5461966571</v>
      </c>
      <c r="G6" s="3" t="n">
        <v>4350121771</v>
      </c>
      <c r="H6" s="3" t="n">
        <v>3753925498</v>
      </c>
      <c r="I6" s="3" t="n">
        <v>3477440317</v>
      </c>
      <c r="J6" s="3" t="n">
        <v>4304107516</v>
      </c>
    </row>
    <row r="7">
      <c r="A7" s="4" t="inlineStr">
        <is>
          <t>预付</t>
        </is>
      </c>
      <c r="D7" s="3" t="n">
        <v>305455256</v>
      </c>
      <c r="E7" s="3" t="n">
        <v>316529520</v>
      </c>
      <c r="F7" s="3" t="n">
        <v>235934604</v>
      </c>
      <c r="G7" s="3" t="n">
        <v>238959820</v>
      </c>
      <c r="H7" s="3" t="n">
        <v>173525313</v>
      </c>
      <c r="I7" s="3" t="n">
        <v>222501827</v>
      </c>
      <c r="J7" s="3" t="n">
        <v>220126772</v>
      </c>
    </row>
    <row r="8">
      <c r="A8" s="4" t="inlineStr">
        <is>
          <t>存货</t>
        </is>
      </c>
      <c r="D8" s="3" t="n">
        <v>5970614068</v>
      </c>
      <c r="E8" s="3" t="n">
        <v>5143615319</v>
      </c>
      <c r="F8" s="3" t="n">
        <v>5403360356</v>
      </c>
      <c r="G8" s="3" t="n">
        <v>4327048485</v>
      </c>
      <c r="H8" s="3" t="n">
        <v>3280989599</v>
      </c>
      <c r="I8" s="3" t="n">
        <v>3280465303</v>
      </c>
      <c r="J8" s="3" t="n">
        <v>3241739977</v>
      </c>
    </row>
    <row r="9">
      <c r="A9" s="4" t="inlineStr">
        <is>
          <t>长期资产</t>
        </is>
      </c>
      <c r="D9" s="3" t="n">
        <v>25921750571</v>
      </c>
      <c r="E9" s="3" t="n">
        <v>22371514457</v>
      </c>
      <c r="F9" s="3" t="n">
        <v>20039597823</v>
      </c>
      <c r="G9" s="3" t="n">
        <v>18909202022</v>
      </c>
      <c r="H9" s="3" t="n">
        <v>19078628686</v>
      </c>
      <c r="I9" s="3" t="n">
        <v>20153605835</v>
      </c>
      <c r="J9" s="3" t="n">
        <v>18450256913</v>
      </c>
    </row>
    <row r="10">
      <c r="A10" s="2" t="inlineStr">
        <is>
          <t>负债</t>
        </is>
      </c>
      <c r="D10" s="3" t="n">
        <v>27568613358</v>
      </c>
      <c r="E10" s="3" t="n">
        <v>25219085168</v>
      </c>
      <c r="F10" s="3" t="n">
        <v>21779200663</v>
      </c>
      <c r="G10" s="3" t="n">
        <v>18490789663</v>
      </c>
      <c r="H10" s="3" t="n">
        <v>16832717886</v>
      </c>
      <c r="I10" s="3" t="n">
        <v>17457198085</v>
      </c>
      <c r="J10" s="3" t="n">
        <v>14300566064</v>
      </c>
    </row>
    <row r="11">
      <c r="A11" s="4" t="inlineStr">
        <is>
          <t>预收</t>
        </is>
      </c>
      <c r="D11" s="3" t="n">
        <v>807312590</v>
      </c>
      <c r="E11" s="3" t="n">
        <v>979067305</v>
      </c>
      <c r="F11" s="3" t="n">
        <v>931585408</v>
      </c>
      <c r="G11" s="3" t="n">
        <v>863737090</v>
      </c>
      <c r="H11" s="3" t="n">
        <v>756282114</v>
      </c>
      <c r="I11" s="3" t="n">
        <v>695400166</v>
      </c>
      <c r="J11" s="3" t="n">
        <v>594503112</v>
      </c>
    </row>
    <row r="12">
      <c r="A12" s="4" t="inlineStr">
        <is>
          <t>应付</t>
        </is>
      </c>
      <c r="D12" s="3" t="n">
        <v>5803094989</v>
      </c>
      <c r="E12" s="3" t="n">
        <v>5522986739</v>
      </c>
      <c r="F12" s="3" t="n">
        <v>4153709622</v>
      </c>
      <c r="G12" s="3" t="n">
        <v>3148222805</v>
      </c>
      <c r="H12" s="3" t="n">
        <v>2466005390</v>
      </c>
      <c r="I12" s="3" t="n">
        <v>2097319605</v>
      </c>
      <c r="J12" s="3" t="n">
        <v>2465349981</v>
      </c>
    </row>
    <row r="13">
      <c r="A13" s="4" t="inlineStr">
        <is>
          <t>有息负债</t>
        </is>
      </c>
      <c r="D13" s="3" t="n">
        <v>14995298574</v>
      </c>
      <c r="E13" s="3" t="n">
        <v>14535923962</v>
      </c>
      <c r="F13" s="3" t="n">
        <v>13012009563</v>
      </c>
      <c r="G13" s="3" t="n">
        <v>11205647043</v>
      </c>
      <c r="H13" s="3" t="n">
        <v>10434585123</v>
      </c>
      <c r="I13" s="3" t="n">
        <v>11383469538</v>
      </c>
      <c r="J13" s="3" t="n">
        <v>8403278932</v>
      </c>
    </row>
    <row r="14">
      <c r="A14" s="2" t="inlineStr">
        <is>
          <t>权益</t>
        </is>
      </c>
      <c r="D14" s="3" t="n">
        <v>35685569178</v>
      </c>
      <c r="E14" s="3" t="n">
        <v>31411322327</v>
      </c>
      <c r="F14" s="3" t="n">
        <v>28988298128</v>
      </c>
      <c r="G14" s="3" t="n">
        <v>26294104291</v>
      </c>
      <c r="H14" s="3" t="n">
        <v>21590907298</v>
      </c>
      <c r="I14" s="3" t="n">
        <v>21369081522</v>
      </c>
      <c r="J14" s="3" t="n">
        <v>20189872606</v>
      </c>
    </row>
    <row r="15">
      <c r="A15" s="4" t="inlineStr">
        <is>
          <t>资本投入</t>
        </is>
      </c>
      <c r="D15" s="3" t="n">
        <v>12310494456</v>
      </c>
      <c r="E15" s="3" t="n">
        <v>12310494456</v>
      </c>
      <c r="F15" s="3" t="n">
        <v>12310494456</v>
      </c>
      <c r="G15" s="3" t="n">
        <v>12310494456</v>
      </c>
      <c r="H15" s="3" t="n">
        <v>8731529967</v>
      </c>
      <c r="I15" s="3" t="n">
        <v>8731695689</v>
      </c>
      <c r="J15" s="3" t="n">
        <v>8731695689</v>
      </c>
    </row>
    <row r="16">
      <c r="A16" s="4" t="inlineStr">
        <is>
          <t>未分配利润</t>
        </is>
      </c>
      <c r="D16" s="3" t="n">
        <v>18625997091</v>
      </c>
      <c r="E16" s="3" t="n">
        <v>15007163446</v>
      </c>
      <c r="F16" s="3" t="n">
        <v>12989794025</v>
      </c>
      <c r="G16" s="3" t="n">
        <v>11245487054</v>
      </c>
      <c r="H16" s="3" t="n">
        <v>10305548562</v>
      </c>
      <c r="I16" s="3" t="n">
        <v>9828694828</v>
      </c>
      <c r="J16" s="3" t="n">
        <v>9150322858</v>
      </c>
    </row>
    <row r="17">
      <c r="A17" s="2" t="inlineStr">
        <is>
          <t>股息分红</t>
        </is>
      </c>
      <c r="D17" s="3" t="n">
        <v>4697538357.6</v>
      </c>
      <c r="E17" s="3" t="n">
        <v>3392666591.6</v>
      </c>
      <c r="F17" s="3" t="n">
        <v>3262179415</v>
      </c>
      <c r="G17" s="3" t="n">
        <v>2609743532</v>
      </c>
      <c r="H17" s="3" t="n">
        <v>1957307649</v>
      </c>
      <c r="I17" s="3" t="n">
        <v>1881463149</v>
      </c>
      <c r="J17" s="3" t="n">
        <v>2884910162</v>
      </c>
    </row>
    <row r="19">
      <c r="A19" s="2" t="inlineStr">
        <is>
          <t>现金结构</t>
        </is>
      </c>
      <c r="D19" s="3" t="n">
        <v>20713712160</v>
      </c>
      <c r="E19" s="3" t="n">
        <v>19838830944</v>
      </c>
      <c r="F19" s="3" t="n">
        <v>18165180172</v>
      </c>
      <c r="G19" s="3" t="n">
        <v>15447688808</v>
      </c>
      <c r="H19" s="3" t="n">
        <v>10411885641</v>
      </c>
      <c r="I19" s="3" t="n">
        <v>10001551003</v>
      </c>
      <c r="J19" s="3" t="n">
        <v>6800777265</v>
      </c>
    </row>
    <row r="20">
      <c r="A20" s="4" t="inlineStr">
        <is>
          <t>利润留存</t>
        </is>
      </c>
      <c r="D20" s="3" t="n">
        <v>18625997091</v>
      </c>
      <c r="E20" s="3" t="n">
        <v>15007163446</v>
      </c>
      <c r="F20" s="3" t="n">
        <v>12989794025</v>
      </c>
      <c r="G20" s="3" t="n">
        <v>11245487054</v>
      </c>
      <c r="H20" s="3" t="n">
        <v>10305548562</v>
      </c>
      <c r="I20" s="3" t="n">
        <v>9828694828</v>
      </c>
      <c r="J20" s="3" t="n">
        <v>9150322858</v>
      </c>
    </row>
    <row r="21">
      <c r="A21" s="4" t="inlineStr">
        <is>
          <t>股东、负债</t>
        </is>
      </c>
      <c r="D21" s="5">
        <f>D3-D16</f>
        <v/>
      </c>
      <c r="E21" s="5">
        <f>E3-E16</f>
        <v/>
      </c>
      <c r="F21" s="5">
        <f>F3-F16</f>
        <v/>
      </c>
      <c r="G21" s="5">
        <f>G3-G16</f>
        <v/>
      </c>
      <c r="H21" s="5">
        <f>H3-H16</f>
        <v/>
      </c>
      <c r="I21" s="5">
        <f>I3-I16</f>
        <v/>
      </c>
      <c r="J21" s="5">
        <f>J3-J16</f>
        <v/>
      </c>
    </row>
    <row r="23">
      <c r="A23" s="2" t="inlineStr">
        <is>
          <t>折旧摊销</t>
        </is>
      </c>
      <c r="D23" s="3" t="n">
        <v>2727498647</v>
      </c>
      <c r="E23" s="3" t="n">
        <v>2522443359</v>
      </c>
      <c r="F23" s="3" t="n">
        <v>2345067457</v>
      </c>
      <c r="G23" s="3" t="n">
        <v>2251652666</v>
      </c>
      <c r="H23" s="3" t="n">
        <v>2242004968</v>
      </c>
      <c r="I23" s="3" t="n">
        <v>2130158309</v>
      </c>
      <c r="J23" s="3" t="n">
        <v>1687167602</v>
      </c>
    </row>
    <row r="24">
      <c r="A24" s="2" t="inlineStr">
        <is>
          <t>资本开支</t>
        </is>
      </c>
      <c r="D24" s="3" t="n">
        <v>5480872166</v>
      </c>
      <c r="E24" s="3" t="n">
        <v>4474711099</v>
      </c>
      <c r="F24" s="3" t="n">
        <v>3130253387</v>
      </c>
      <c r="G24" s="3" t="n">
        <v>2328511864</v>
      </c>
      <c r="H24" s="3" t="n">
        <v>1772542963</v>
      </c>
      <c r="I24" s="3" t="n">
        <v>2779502262</v>
      </c>
      <c r="J24" s="3" t="n">
        <v>3591741242</v>
      </c>
    </row>
    <row r="26">
      <c r="A26" s="2" t="inlineStr">
        <is>
          <t>股本</t>
        </is>
      </c>
      <c r="D26" s="3" t="n">
        <v>2609743532</v>
      </c>
      <c r="E26" s="3" t="n">
        <v>2609743532</v>
      </c>
      <c r="F26" s="3" t="n">
        <v>2609743532</v>
      </c>
      <c r="G26" s="3" t="n">
        <v>2609743532</v>
      </c>
      <c r="H26" s="3" t="n">
        <v>2508617532</v>
      </c>
      <c r="I26" s="3" t="n">
        <v>2508617532</v>
      </c>
      <c r="J26" s="3" t="n">
        <v>2508617532</v>
      </c>
    </row>
    <row r="28">
      <c r="A28" s="2" t="inlineStr">
        <is>
          <t>主营收入</t>
        </is>
      </c>
      <c r="D28" s="3" t="n">
        <v>38710428679</v>
      </c>
      <c r="E28" s="3" t="n">
        <v>32650176898</v>
      </c>
      <c r="F28" s="3" t="n">
        <v>27650978801</v>
      </c>
      <c r="G28" s="3" t="n">
        <v>23261134069</v>
      </c>
      <c r="H28" s="3" t="n">
        <v>19641289272</v>
      </c>
      <c r="I28" s="3" t="n">
        <v>20765088255</v>
      </c>
      <c r="J28" s="3" t="n">
        <v>19883838974</v>
      </c>
    </row>
    <row r="29">
      <c r="A29" s="4" t="inlineStr">
        <is>
          <t>主营成本</t>
        </is>
      </c>
      <c r="D29" s="3" t="n">
        <v>24922427939</v>
      </c>
      <c r="E29" s="3" t="n">
        <v>21310091980</v>
      </c>
      <c r="F29" s="3" t="n">
        <v>18410110199</v>
      </c>
      <c r="G29" s="3" t="n">
        <v>15039848812</v>
      </c>
      <c r="H29" s="3" t="n">
        <v>11944882127</v>
      </c>
      <c r="I29" s="3" t="n">
        <v>13060926884</v>
      </c>
      <c r="J29" s="3" t="n">
        <v>11488667084</v>
      </c>
    </row>
    <row r="30">
      <c r="A30" s="4" t="inlineStr">
        <is>
          <t>费用</t>
        </is>
      </c>
      <c r="D30" s="3" t="n">
        <v>5746301975</v>
      </c>
      <c r="E30" s="3" t="n">
        <v>5427862941</v>
      </c>
      <c r="F30" s="3" t="n">
        <v>4742246146</v>
      </c>
      <c r="G30" s="3" t="n">
        <v>4092374443</v>
      </c>
      <c r="H30" s="3" t="n">
        <v>4366570267</v>
      </c>
      <c r="I30" s="3" t="n">
        <v>4480060059</v>
      </c>
      <c r="J30" s="3" t="n">
        <v>4418465472</v>
      </c>
    </row>
    <row r="31">
      <c r="A31" s="4" t="inlineStr">
        <is>
          <t>研发费用</t>
        </is>
      </c>
      <c r="D31" s="3" t="n">
        <v>1677751298</v>
      </c>
      <c r="E31" s="3" t="n">
        <v>1403030121</v>
      </c>
      <c r="F31" s="3" t="n">
        <v>1248592812</v>
      </c>
      <c r="G31" s="3" t="n">
        <v>997203019</v>
      </c>
      <c r="H31" s="3" t="n">
        <v>815579258</v>
      </c>
      <c r="I31" s="3" t="n">
        <v>813129835</v>
      </c>
      <c r="J31" s="3" t="n">
        <v>887721987</v>
      </c>
    </row>
    <row r="32">
      <c r="A32" s="4" t="inlineStr">
        <is>
          <t>销售费用</t>
        </is>
      </c>
      <c r="D32" s="3" t="n">
        <v>1180260909</v>
      </c>
      <c r="E32" s="3" t="n">
        <v>1538783486</v>
      </c>
      <c r="F32" s="3" t="n">
        <v>1350721298</v>
      </c>
      <c r="G32" s="3" t="n">
        <v>1150992397</v>
      </c>
      <c r="H32" s="3" t="n">
        <v>1474366072</v>
      </c>
      <c r="I32" s="3" t="n">
        <v>1481567161</v>
      </c>
      <c r="J32" s="3" t="n">
        <v>1467671276</v>
      </c>
    </row>
    <row r="33">
      <c r="A33" s="4" t="inlineStr">
        <is>
          <t>管理费用</t>
        </is>
      </c>
      <c r="D33" s="3" t="n">
        <v>2888289768</v>
      </c>
      <c r="E33" s="3" t="n">
        <v>2486049334</v>
      </c>
      <c r="F33" s="3" t="n">
        <v>2142932036</v>
      </c>
      <c r="G33" s="3" t="n">
        <v>1944179027</v>
      </c>
      <c r="H33" s="3" t="n">
        <v>2076624937</v>
      </c>
      <c r="I33" s="3" t="n">
        <v>2185363063</v>
      </c>
      <c r="J33" s="3" t="n">
        <v>2063072209</v>
      </c>
    </row>
    <row r="34">
      <c r="A34" s="4" t="inlineStr">
        <is>
          <t>损耗</t>
        </is>
      </c>
      <c r="D34" s="3" t="n">
        <v>-98548679</v>
      </c>
      <c r="E34" s="3" t="n">
        <v>-220776671</v>
      </c>
      <c r="F34" s="3" t="n">
        <v>-150481522</v>
      </c>
      <c r="G34" s="3" t="n">
        <v>-23928049</v>
      </c>
      <c r="H34" s="3" t="n">
        <v>38157119</v>
      </c>
      <c r="I34" s="3" t="n">
        <v>-20103858</v>
      </c>
      <c r="J34" s="3" t="n">
        <v>-51746308</v>
      </c>
    </row>
    <row r="35">
      <c r="A35" s="2" t="inlineStr">
        <is>
          <t>其他收益</t>
        </is>
      </c>
      <c r="D35" s="3" t="n">
        <v>400415185</v>
      </c>
      <c r="E35" s="3" t="n">
        <v>262917177</v>
      </c>
      <c r="F35" s="3" t="n">
        <v>215071387</v>
      </c>
      <c r="G35" s="3" t="n">
        <v>242337506</v>
      </c>
      <c r="H35" s="3" t="n">
        <v>352820556</v>
      </c>
      <c r="I35" s="3" t="n">
        <v>181754102</v>
      </c>
      <c r="J35" s="3" t="n">
        <v>146750220</v>
      </c>
    </row>
    <row r="36">
      <c r="A36" s="2" t="inlineStr">
        <is>
          <t>现金收益</t>
        </is>
      </c>
      <c r="D36" s="3" t="n">
        <v>924966003</v>
      </c>
      <c r="E36" s="3" t="n">
        <v>602544066</v>
      </c>
      <c r="F36" s="3" t="n">
        <v>231495735</v>
      </c>
      <c r="G36" s="3" t="n">
        <v>195413923</v>
      </c>
      <c r="H36" s="3" t="n">
        <v>348762592</v>
      </c>
      <c r="I36" s="3" t="n">
        <v>336984661</v>
      </c>
      <c r="J36" s="3" t="n">
        <v>335452093</v>
      </c>
    </row>
    <row r="37">
      <c r="A37" s="2" t="inlineStr">
        <is>
          <t>股权收益</t>
        </is>
      </c>
      <c r="D37" s="3" t="n">
        <v>-15801862</v>
      </c>
      <c r="E37" s="3" t="n">
        <v>4290148</v>
      </c>
      <c r="F37" s="3" t="n">
        <v>20962737</v>
      </c>
      <c r="G37" s="3" t="n">
        <v>26975045</v>
      </c>
      <c r="H37" s="3" t="n">
        <v>11843754</v>
      </c>
      <c r="I37" s="3" t="n">
        <v>-5932899</v>
      </c>
      <c r="J37" s="3" t="n">
        <v>667776495</v>
      </c>
    </row>
    <row r="38">
      <c r="A38" s="2" t="inlineStr">
        <is>
          <t>利息支出</t>
        </is>
      </c>
      <c r="D38" s="3" t="n">
        <v>288507082</v>
      </c>
      <c r="E38" s="3" t="n">
        <v>288319603</v>
      </c>
      <c r="F38" s="3" t="n">
        <v>288122259</v>
      </c>
      <c r="G38" s="3" t="n">
        <v>318940791</v>
      </c>
      <c r="H38" s="3" t="n">
        <v>354752403</v>
      </c>
      <c r="I38" s="3" t="n">
        <v>432679520</v>
      </c>
      <c r="J38" s="3" t="n">
        <v>376230473</v>
      </c>
    </row>
    <row r="39">
      <c r="A39" s="2" t="inlineStr">
        <is>
          <t>财务费用</t>
        </is>
      </c>
      <c r="D39" s="3" t="n">
        <v>35964048</v>
      </c>
      <c r="E39" s="3" t="n">
        <v>-361719066</v>
      </c>
      <c r="F39" s="3" t="n">
        <v>-1036725297</v>
      </c>
      <c r="G39" s="3" t="n">
        <v>536834250</v>
      </c>
      <c r="H39" s="3" t="n">
        <v>429822814</v>
      </c>
      <c r="I39" s="3" t="n">
        <v>-127469129</v>
      </c>
      <c r="J39" s="3" t="n">
        <v>-250823052</v>
      </c>
    </row>
    <row r="40">
      <c r="A40" s="2" t="inlineStr">
        <is>
          <t>其他业务</t>
        </is>
      </c>
      <c r="D40" s="3" t="n"/>
      <c r="E40" s="3" t="n"/>
      <c r="F40" s="3" t="n"/>
      <c r="G40" s="3" t="n"/>
      <c r="H40" s="3" t="n"/>
      <c r="I40" s="3" t="n"/>
      <c r="J40" s="3" t="n"/>
    </row>
    <row r="41">
      <c r="A41" s="4" t="inlineStr">
        <is>
          <t>收入</t>
        </is>
      </c>
      <c r="D41" s="3" t="n">
        <v>541228588</v>
      </c>
      <c r="E41" s="3" t="n">
        <v>510819743</v>
      </c>
      <c r="F41" s="3" t="n">
        <v>447775365</v>
      </c>
      <c r="G41" s="3" t="n">
        <v>341929292</v>
      </c>
      <c r="H41" s="3" t="n">
        <v>265304196</v>
      </c>
      <c r="I41" s="3" t="n">
        <v>338789268</v>
      </c>
      <c r="J41" s="3" t="n">
        <v>341146746</v>
      </c>
    </row>
    <row r="42">
      <c r="A42" s="4" t="inlineStr">
        <is>
          <t>成本</t>
        </is>
      </c>
      <c r="D42" s="3" t="n">
        <v>108449502</v>
      </c>
      <c r="E42" s="3" t="n">
        <v>114234160</v>
      </c>
      <c r="F42" s="3" t="n">
        <v>125334935</v>
      </c>
      <c r="G42" s="3" t="n">
        <v>89204424</v>
      </c>
      <c r="H42" s="3" t="n">
        <v>97335416</v>
      </c>
      <c r="I42" s="3" t="n">
        <v>136627509</v>
      </c>
      <c r="J42" s="3" t="n">
        <v>114387863</v>
      </c>
    </row>
    <row r="43">
      <c r="A43" s="2" t="inlineStr">
        <is>
          <t>营业外</t>
        </is>
      </c>
      <c r="D43" s="3" t="n"/>
      <c r="E43" s="3" t="n"/>
      <c r="F43" s="3" t="n"/>
      <c r="G43" s="3" t="n"/>
      <c r="H43" s="3" t="n"/>
      <c r="I43" s="3" t="n"/>
      <c r="J43" s="3" t="n"/>
    </row>
    <row r="44">
      <c r="A44" s="4" t="inlineStr">
        <is>
          <t>收入</t>
        </is>
      </c>
      <c r="D44" s="3" t="n">
        <v>35905331</v>
      </c>
      <c r="E44" s="3" t="n">
        <v>49843149</v>
      </c>
      <c r="F44" s="3" t="n">
        <v>80855034</v>
      </c>
      <c r="G44" s="3" t="n">
        <v>217974835</v>
      </c>
      <c r="H44" s="3" t="n">
        <v>57628048</v>
      </c>
      <c r="I44" s="3" t="n">
        <v>109494454</v>
      </c>
      <c r="J44" s="3" t="n">
        <v>60687441</v>
      </c>
    </row>
    <row r="45">
      <c r="A45" s="4" t="inlineStr">
        <is>
          <t>成本</t>
        </is>
      </c>
      <c r="D45" s="3" t="n">
        <v>120136061</v>
      </c>
      <c r="E45" s="3" t="n">
        <v>125106357</v>
      </c>
      <c r="F45" s="3" t="n">
        <v>163122132</v>
      </c>
      <c r="G45" s="3" t="n">
        <v>161162665</v>
      </c>
      <c r="H45" s="3" t="n">
        <v>214664627</v>
      </c>
      <c r="I45" s="3" t="n">
        <v>294294341</v>
      </c>
      <c r="J45" s="3" t="n">
        <v>71545321</v>
      </c>
    </row>
    <row r="46">
      <c r="A46" s="2" t="inlineStr">
        <is>
          <t>所得税</t>
        </is>
      </c>
      <c r="D46" s="3" t="n">
        <v>1486781220</v>
      </c>
      <c r="E46" s="3" t="n">
        <v>1086913641</v>
      </c>
      <c r="F46" s="3" t="n">
        <v>826310042</v>
      </c>
      <c r="G46" s="3" t="n">
        <v>675861301</v>
      </c>
      <c r="H46" s="3" t="n">
        <v>511144107</v>
      </c>
      <c r="I46" s="3" t="n">
        <v>332955880</v>
      </c>
      <c r="J46" s="3" t="n">
        <v>855187629</v>
      </c>
    </row>
    <row r="49">
      <c r="A49" s="2" t="inlineStr">
        <is>
          <t>盈利结构</t>
        </is>
      </c>
      <c r="D49" s="3" t="n"/>
      <c r="E49" s="3" t="n"/>
      <c r="F49" s="3" t="n"/>
      <c r="G49" s="3" t="n"/>
      <c r="H49" s="3" t="n"/>
      <c r="I49" s="3" t="n"/>
      <c r="J49" s="3" t="n"/>
    </row>
    <row r="50">
      <c r="A50" s="2" t="inlineStr">
        <is>
          <t>主营收入</t>
        </is>
      </c>
      <c r="D50" s="3" t="n">
        <v>38710428679</v>
      </c>
      <c r="E50" s="3" t="n">
        <v>32650176898</v>
      </c>
      <c r="F50" s="3" t="n">
        <v>27650978801</v>
      </c>
      <c r="G50" s="3" t="n">
        <v>23261134069</v>
      </c>
      <c r="H50" s="3" t="n">
        <v>19641289272</v>
      </c>
      <c r="I50" s="3" t="n">
        <v>20765088255</v>
      </c>
      <c r="J50" s="3" t="n">
        <v>19883838974</v>
      </c>
    </row>
    <row r="51">
      <c r="A51" s="4" t="inlineStr">
        <is>
          <t>主营成本</t>
        </is>
      </c>
      <c r="D51" s="3" t="n">
        <v>24922427939</v>
      </c>
      <c r="E51" s="3" t="n">
        <v>21310091980</v>
      </c>
      <c r="F51" s="3" t="n">
        <v>18410110199</v>
      </c>
      <c r="G51" s="3" t="n">
        <v>15039848812</v>
      </c>
      <c r="H51" s="3" t="n">
        <v>11944882127</v>
      </c>
      <c r="I51" s="3" t="n">
        <v>13060926884</v>
      </c>
      <c r="J51" s="3" t="n">
        <v>11488667084</v>
      </c>
    </row>
    <row r="52">
      <c r="A52" s="4" t="inlineStr">
        <is>
          <t>费用</t>
        </is>
      </c>
      <c r="D52" s="3" t="n">
        <v>5746301975</v>
      </c>
      <c r="E52" s="3" t="n">
        <v>5427862941</v>
      </c>
      <c r="F52" s="3" t="n">
        <v>4742246146</v>
      </c>
      <c r="G52" s="3" t="n">
        <v>4092374443</v>
      </c>
      <c r="H52" s="3" t="n">
        <v>4366570267</v>
      </c>
      <c r="I52" s="3" t="n">
        <v>4480060059</v>
      </c>
      <c r="J52" s="3" t="n">
        <v>4418465472</v>
      </c>
    </row>
    <row r="53">
      <c r="A53" s="4" t="inlineStr">
        <is>
          <t>损耗</t>
        </is>
      </c>
      <c r="D53" s="3" t="n">
        <v>-98548679</v>
      </c>
      <c r="E53" s="3" t="n">
        <v>-220776671</v>
      </c>
      <c r="F53" s="3" t="n">
        <v>-150481522</v>
      </c>
      <c r="G53" s="3" t="n">
        <v>-23928049</v>
      </c>
      <c r="H53" s="3" t="n">
        <v>38157119</v>
      </c>
      <c r="I53" s="3" t="n">
        <v>-20103858</v>
      </c>
      <c r="J53" s="3" t="n">
        <v>-51746308</v>
      </c>
    </row>
    <row r="54">
      <c r="A54" s="4" t="inlineStr">
        <is>
          <t>其他收益</t>
        </is>
      </c>
      <c r="D54" s="3" t="n">
        <v>400415185</v>
      </c>
      <c r="E54" s="3" t="n">
        <v>262917177</v>
      </c>
      <c r="F54" s="3" t="n">
        <v>215071387</v>
      </c>
      <c r="G54" s="3" t="n">
        <v>242337506</v>
      </c>
      <c r="H54" s="3" t="n">
        <v>352820556</v>
      </c>
      <c r="I54" s="3" t="n">
        <v>181754102</v>
      </c>
      <c r="J54" s="3" t="n">
        <v>146750220</v>
      </c>
    </row>
    <row r="55">
      <c r="A55" s="4" t="inlineStr">
        <is>
          <t>现金收益</t>
        </is>
      </c>
      <c r="D55" s="3" t="n">
        <v>924966003</v>
      </c>
      <c r="E55" s="3" t="n">
        <v>602544066</v>
      </c>
      <c r="F55" s="3" t="n">
        <v>231495735</v>
      </c>
      <c r="G55" s="3" t="n">
        <v>195413923</v>
      </c>
      <c r="H55" s="3" t="n">
        <v>348762592</v>
      </c>
      <c r="I55" s="3" t="n">
        <v>336984661</v>
      </c>
      <c r="J55" s="3" t="n">
        <v>335452093</v>
      </c>
    </row>
    <row r="56">
      <c r="A56" s="4" t="inlineStr">
        <is>
          <t>利息支出</t>
        </is>
      </c>
      <c r="D56" s="3" t="n">
        <v>288507082</v>
      </c>
      <c r="E56" s="3" t="n">
        <v>288319603</v>
      </c>
      <c r="F56" s="3" t="n">
        <v>288122259</v>
      </c>
      <c r="G56" s="3" t="n">
        <v>318940791</v>
      </c>
      <c r="H56" s="3" t="n">
        <v>354752403</v>
      </c>
      <c r="I56" s="3" t="n">
        <v>432679520</v>
      </c>
      <c r="J56" s="3" t="n">
        <v>376230473</v>
      </c>
    </row>
    <row r="57">
      <c r="A57" s="4" t="inlineStr">
        <is>
          <t>财务费用</t>
        </is>
      </c>
      <c r="D57" s="3" t="n">
        <v>35964048</v>
      </c>
      <c r="E57" s="3" t="n">
        <v>-361719066</v>
      </c>
      <c r="F57" s="3" t="n">
        <v>-1036725297</v>
      </c>
      <c r="G57" s="3" t="n">
        <v>536834250</v>
      </c>
      <c r="H57" s="3" t="n">
        <v>429822814</v>
      </c>
      <c r="I57" s="3" t="n">
        <v>-127469129</v>
      </c>
      <c r="J57" s="3" t="n">
        <v>-250823052</v>
      </c>
    </row>
    <row r="58">
      <c r="A58" s="4" t="inlineStr">
        <is>
          <t>所得税</t>
        </is>
      </c>
      <c r="D58" s="3" t="n">
        <v>1486781220</v>
      </c>
      <c r="E58" s="3" t="n">
        <v>1086913641</v>
      </c>
      <c r="F58" s="3" t="n">
        <v>826310042</v>
      </c>
      <c r="G58" s="3" t="n">
        <v>675861301</v>
      </c>
      <c r="H58" s="3" t="n">
        <v>511144107</v>
      </c>
      <c r="I58" s="3" t="n">
        <v>332955880</v>
      </c>
      <c r="J58" s="3" t="n">
        <v>855187629</v>
      </c>
    </row>
    <row r="59">
      <c r="A59" s="2" t="inlineStr">
        <is>
          <t>业务利润</t>
        </is>
      </c>
      <c r="D59" s="5">
        <f>D50-D51-D52+D53+D54+D55-D56-D57-D58</f>
        <v/>
      </c>
      <c r="E59" s="5">
        <f>E50-E51-E52+E53+E54+E55-E56-E57-E58</f>
        <v/>
      </c>
      <c r="F59" s="5">
        <f>F50-F51-F52+F53+F54+F55-F56-F57-F58</f>
        <v/>
      </c>
      <c r="G59" s="5">
        <f>G50-G51-G52+G53+G54+G55-G56-G57-G58</f>
        <v/>
      </c>
      <c r="H59" s="5">
        <f>H50-H51-H52+H53+H54+H55-H56-H57-H58</f>
        <v/>
      </c>
      <c r="I59" s="5">
        <f>I50-I51-I52+I53+I54+I55-I56-I57-I58</f>
        <v/>
      </c>
      <c r="J59" s="5">
        <f>J50-J51-J52+J53+J54+J55-J56-J57-J58</f>
        <v/>
      </c>
    </row>
    <row r="60">
      <c r="A60" s="4" t="inlineStr">
        <is>
          <t>股权收益</t>
        </is>
      </c>
      <c r="D60" s="3" t="n">
        <v>-15801862</v>
      </c>
      <c r="E60" s="3" t="n">
        <v>4290148</v>
      </c>
      <c r="F60" s="3" t="n">
        <v>20962737</v>
      </c>
      <c r="G60" s="3" t="n">
        <v>26975045</v>
      </c>
      <c r="H60" s="3" t="n">
        <v>11843754</v>
      </c>
      <c r="I60" s="3" t="n">
        <v>-5932899</v>
      </c>
      <c r="J60" s="3" t="n">
        <v>667776495</v>
      </c>
    </row>
    <row r="61">
      <c r="A61" s="4" t="inlineStr">
        <is>
          <t>其他业务利润</t>
        </is>
      </c>
      <c r="D61" s="5">
        <f>D41-D42</f>
        <v/>
      </c>
      <c r="E61" s="5">
        <f>E41-E42</f>
        <v/>
      </c>
      <c r="F61" s="5">
        <f>F41-F42</f>
        <v/>
      </c>
      <c r="G61" s="5">
        <f>G41-G42</f>
        <v/>
      </c>
      <c r="H61" s="5">
        <f>H41-H42</f>
        <v/>
      </c>
      <c r="I61" s="5">
        <f>I41-I42</f>
        <v/>
      </c>
      <c r="J61" s="5">
        <f>J41-J42</f>
        <v/>
      </c>
    </row>
    <row r="62">
      <c r="A62" s="4" t="inlineStr">
        <is>
          <t>营业外利润</t>
        </is>
      </c>
      <c r="D62" s="5">
        <f>D44-D45</f>
        <v/>
      </c>
      <c r="E62" s="5">
        <f>E44-E45</f>
        <v/>
      </c>
      <c r="F62" s="5">
        <f>F44-F45</f>
        <v/>
      </c>
      <c r="G62" s="5">
        <f>G44-G45</f>
        <v/>
      </c>
      <c r="H62" s="5">
        <f>H44-H45</f>
        <v/>
      </c>
      <c r="I62" s="5">
        <f>I44-I45</f>
        <v/>
      </c>
      <c r="J62" s="5">
        <f>J44-J45</f>
        <v/>
      </c>
    </row>
    <row r="63">
      <c r="A63" s="4" t="inlineStr">
        <is>
          <t>净利润</t>
        </is>
      </c>
      <c r="D63" s="5">
        <f>D59+D60+D61+D62</f>
        <v/>
      </c>
      <c r="E63" s="5">
        <f>E59+E60+E61+E62</f>
        <v/>
      </c>
      <c r="F63" s="5">
        <f>F59+F60+F61+F62</f>
        <v/>
      </c>
      <c r="G63" s="5">
        <f>G59+G60+G61+G62</f>
        <v/>
      </c>
      <c r="H63" s="5">
        <f>H59+H60+H61+H62</f>
        <v/>
      </c>
      <c r="I63" s="5">
        <f>I59+I60+I61+I62</f>
        <v/>
      </c>
      <c r="J63" s="5">
        <f>J59+J60+J61+J62</f>
        <v/>
      </c>
    </row>
    <row r="64">
      <c r="A64" s="4" t="inlineStr">
        <is>
          <t>分红</t>
        </is>
      </c>
      <c r="D64" s="3" t="n">
        <v>4697538357.6</v>
      </c>
      <c r="E64" s="3" t="n">
        <v>3392666591.6</v>
      </c>
      <c r="F64" s="3" t="n">
        <v>3262179415</v>
      </c>
      <c r="G64" s="3" t="n">
        <v>2609743532</v>
      </c>
      <c r="H64" s="3" t="n">
        <v>1957307649</v>
      </c>
      <c r="I64" s="3" t="n">
        <v>1881463149</v>
      </c>
      <c r="J64" s="3" t="n">
        <v>2884910162</v>
      </c>
    </row>
    <row r="65">
      <c r="A65" s="2" t="inlineStr">
        <is>
          <t>利润留存</t>
        </is>
      </c>
      <c r="D65" s="5">
        <f>D63-D64</f>
        <v/>
      </c>
      <c r="E65" s="5">
        <f>E63-E64</f>
        <v/>
      </c>
      <c r="F65" s="5">
        <f>F63-F64</f>
        <v/>
      </c>
      <c r="G65" s="5">
        <f>G63-G64</f>
        <v/>
      </c>
      <c r="H65" s="5">
        <f>H63-H64</f>
        <v/>
      </c>
      <c r="I65" s="5">
        <f>I63-I64</f>
        <v/>
      </c>
      <c r="J65" s="5">
        <f>J63-J64</f>
        <v/>
      </c>
    </row>
    <row r="66">
      <c r="A66" s="4" t="inlineStr">
        <is>
          <t>折旧摊销</t>
        </is>
      </c>
      <c r="D66" s="3" t="n">
        <v>2727498647</v>
      </c>
      <c r="E66" s="3" t="n">
        <v>2522443359</v>
      </c>
      <c r="F66" s="3" t="n">
        <v>2345067457</v>
      </c>
      <c r="G66" s="3" t="n">
        <v>2251652666</v>
      </c>
      <c r="H66" s="3" t="n">
        <v>2242004968</v>
      </c>
      <c r="I66" s="3" t="n">
        <v>2130158309</v>
      </c>
      <c r="J66" s="3" t="n">
        <v>1687167602</v>
      </c>
    </row>
    <row r="67">
      <c r="A67" s="4" t="inlineStr">
        <is>
          <t>CAPEX</t>
        </is>
      </c>
      <c r="D67" s="3" t="n">
        <v>5480872166</v>
      </c>
      <c r="E67" s="3" t="n">
        <v>4474711099</v>
      </c>
      <c r="F67" s="3" t="n">
        <v>3130253387</v>
      </c>
      <c r="G67" s="3" t="n">
        <v>2328511864</v>
      </c>
      <c r="H67" s="3" t="n">
        <v>1772542963</v>
      </c>
      <c r="I67" s="3" t="n">
        <v>2779502262</v>
      </c>
      <c r="J67" s="3" t="n">
        <v>3591741242</v>
      </c>
    </row>
    <row r="68">
      <c r="A68" s="2" t="inlineStr">
        <is>
          <t>现金留存</t>
        </is>
      </c>
      <c r="D68" s="5">
        <f>D65+D66-D67</f>
        <v/>
      </c>
      <c r="E68" s="5">
        <f>E65+E66-E67</f>
        <v/>
      </c>
      <c r="F68" s="5">
        <f>F65+F66-F67</f>
        <v/>
      </c>
      <c r="G68" s="5">
        <f>G65+G66-G67</f>
        <v/>
      </c>
      <c r="H68" s="5">
        <f>H65+H66-H67</f>
        <v/>
      </c>
      <c r="I68" s="5">
        <f>I65+I66-I67</f>
        <v/>
      </c>
      <c r="J68" s="5">
        <f>J65+J66-J67</f>
        <v/>
      </c>
    </row>
    <row r="69">
      <c r="A69" s="2" t="inlineStr">
        <is>
          <t>业务现金</t>
        </is>
      </c>
      <c r="D69" s="5">
        <f>D59+D66-D67</f>
        <v/>
      </c>
      <c r="E69" s="5">
        <f>E59+E66-E67</f>
        <v/>
      </c>
      <c r="F69" s="5">
        <f>F59+F66-F67</f>
        <v/>
      </c>
      <c r="G69" s="5">
        <f>G59+G66-G67</f>
        <v/>
      </c>
      <c r="H69" s="5">
        <f>H59+H66-H67</f>
        <v/>
      </c>
      <c r="I69" s="5">
        <f>I59+I66-I67</f>
        <v/>
      </c>
      <c r="J69" s="5">
        <f>J59+J66-J67</f>
        <v/>
      </c>
    </row>
    <row r="71">
      <c r="A71" s="2" t="inlineStr">
        <is>
          <t>经营周转</t>
        </is>
      </c>
      <c r="D71" s="3" t="n"/>
      <c r="E71" s="3" t="n"/>
      <c r="F71" s="3" t="n"/>
      <c r="G71" s="3" t="n"/>
      <c r="H71" s="3" t="n"/>
      <c r="I71" s="3" t="n"/>
      <c r="J71" s="3" t="n"/>
    </row>
    <row r="72">
      <c r="A72" s="2" t="inlineStr">
        <is>
          <t>毛利率</t>
        </is>
      </c>
      <c r="D72" s="5">
        <f>(D28-D29)/D28</f>
        <v/>
      </c>
      <c r="E72" s="5">
        <f>(E28-E29)/E28</f>
        <v/>
      </c>
      <c r="F72" s="5">
        <f>(F28-F29)/F28</f>
        <v/>
      </c>
      <c r="G72" s="5">
        <f>(G28-G29)/G28</f>
        <v/>
      </c>
      <c r="H72" s="5">
        <f>(H28-H29)/H28</f>
        <v/>
      </c>
      <c r="I72" s="5">
        <f>(I28-I29)/I28</f>
        <v/>
      </c>
      <c r="J72" s="5">
        <f>(J28-J29)/J28</f>
        <v/>
      </c>
    </row>
    <row r="73">
      <c r="A73" s="2" t="inlineStr">
        <is>
          <t>费率</t>
        </is>
      </c>
      <c r="D73" s="5">
        <f>D30/D28</f>
        <v/>
      </c>
      <c r="E73" s="5">
        <f>E30/E28</f>
        <v/>
      </c>
      <c r="F73" s="5">
        <f>F30/F28</f>
        <v/>
      </c>
      <c r="G73" s="5">
        <f>G30/G28</f>
        <v/>
      </c>
      <c r="H73" s="5">
        <f>H30/H28</f>
        <v/>
      </c>
      <c r="I73" s="5">
        <f>I30/I28</f>
        <v/>
      </c>
      <c r="J73" s="5">
        <f>J30/J28</f>
        <v/>
      </c>
    </row>
    <row r="74">
      <c r="A74" s="2" t="inlineStr">
        <is>
          <t>研发费率</t>
        </is>
      </c>
      <c r="D74" s="5">
        <f>D31/D28</f>
        <v/>
      </c>
      <c r="E74" s="5">
        <f>E31/E28</f>
        <v/>
      </c>
      <c r="F74" s="5">
        <f>F31/F28</f>
        <v/>
      </c>
      <c r="G74" s="5">
        <f>G31/G28</f>
        <v/>
      </c>
      <c r="H74" s="5">
        <f>H31/H28</f>
        <v/>
      </c>
      <c r="I74" s="5">
        <f>I31/I28</f>
        <v/>
      </c>
      <c r="J74" s="5">
        <f>J31/J28</f>
        <v/>
      </c>
    </row>
    <row r="75">
      <c r="A75" s="2" t="inlineStr">
        <is>
          <t>销售费率</t>
        </is>
      </c>
      <c r="D75" s="5">
        <f>D32/D28</f>
        <v/>
      </c>
      <c r="E75" s="5">
        <f>E32/E28</f>
        <v/>
      </c>
      <c r="F75" s="5">
        <f>F32/F28</f>
        <v/>
      </c>
      <c r="G75" s="5">
        <f>G32/G28</f>
        <v/>
      </c>
      <c r="H75" s="5">
        <f>H32/H28</f>
        <v/>
      </c>
      <c r="I75" s="5">
        <f>I32/I28</f>
        <v/>
      </c>
      <c r="J75" s="5">
        <f>J32/J28</f>
        <v/>
      </c>
    </row>
    <row r="76">
      <c r="A76" s="2" t="inlineStr">
        <is>
          <t>管理费率</t>
        </is>
      </c>
      <c r="D76" s="5">
        <f>D33/D28</f>
        <v/>
      </c>
      <c r="E76" s="5">
        <f>E33/E28</f>
        <v/>
      </c>
      <c r="F76" s="5">
        <f>F33/F28</f>
        <v/>
      </c>
      <c r="G76" s="5">
        <f>G33/G28</f>
        <v/>
      </c>
      <c r="H76" s="5">
        <f>H33/H28</f>
        <v/>
      </c>
      <c r="I76" s="5">
        <f>I33/I28</f>
        <v/>
      </c>
      <c r="J76" s="5">
        <f>J33/J28</f>
        <v/>
      </c>
    </row>
    <row r="77">
      <c r="A77" s="2" t="inlineStr">
        <is>
          <t>净利率</t>
        </is>
      </c>
      <c r="D77" s="5">
        <f>D59/D28</f>
        <v/>
      </c>
      <c r="E77" s="5">
        <f>E59/E28</f>
        <v/>
      </c>
      <c r="F77" s="5">
        <f>F59/F28</f>
        <v/>
      </c>
      <c r="G77" s="5">
        <f>G59/G28</f>
        <v/>
      </c>
      <c r="H77" s="5">
        <f>H59/H28</f>
        <v/>
      </c>
      <c r="I77" s="5">
        <f>I59/I28</f>
        <v/>
      </c>
      <c r="J77" s="5">
        <f>J59/J28</f>
        <v/>
      </c>
    </row>
    <row r="79">
      <c r="A79" s="2" t="inlineStr">
        <is>
          <t>应收占比</t>
        </is>
      </c>
      <c r="D79" s="5">
        <f>D6/D28</f>
        <v/>
      </c>
      <c r="E79" s="5">
        <f>E6/E28</f>
        <v/>
      </c>
      <c r="F79" s="5">
        <f>F6/F28</f>
        <v/>
      </c>
      <c r="G79" s="5">
        <f>G6/G28</f>
        <v/>
      </c>
      <c r="H79" s="5">
        <f>H6/H28</f>
        <v/>
      </c>
      <c r="I79" s="5">
        <f>I6/I28</f>
        <v/>
      </c>
      <c r="J79" s="5">
        <f>J6/J28</f>
        <v/>
      </c>
    </row>
    <row r="80">
      <c r="A80" s="2" t="inlineStr">
        <is>
          <t>应收周转</t>
        </is>
      </c>
      <c r="D80" s="5">
        <f>D28/D6</f>
        <v/>
      </c>
      <c r="E80" s="5">
        <f>E28/E6</f>
        <v/>
      </c>
      <c r="F80" s="5">
        <f>F28/F6</f>
        <v/>
      </c>
      <c r="G80" s="5">
        <f>G28/G6</f>
        <v/>
      </c>
      <c r="H80" s="5">
        <f>H28/H6</f>
        <v/>
      </c>
      <c r="I80" s="5">
        <f>I28/I6</f>
        <v/>
      </c>
      <c r="J80" s="5">
        <f>J28/J6</f>
        <v/>
      </c>
    </row>
    <row r="81">
      <c r="A81" s="2" t="inlineStr">
        <is>
          <t>存货周转</t>
        </is>
      </c>
      <c r="D81" s="5">
        <f>D29/D8</f>
        <v/>
      </c>
      <c r="E81" s="5">
        <f>E29/E8</f>
        <v/>
      </c>
      <c r="F81" s="5">
        <f>F29/F8</f>
        <v/>
      </c>
      <c r="G81" s="5">
        <f>G29/G8</f>
        <v/>
      </c>
      <c r="H81" s="5">
        <f>H29/H8</f>
        <v/>
      </c>
      <c r="I81" s="5">
        <f>I29/I8</f>
        <v/>
      </c>
      <c r="J81" s="5">
        <f>J29/J8</f>
        <v/>
      </c>
    </row>
    <row r="82">
      <c r="A82" s="2" t="inlineStr">
        <is>
          <t>应付（预付）占比</t>
        </is>
      </c>
      <c r="D82" s="5">
        <f>(D12+D7)/D28</f>
        <v/>
      </c>
      <c r="E82" s="5">
        <f>(E12+E7)/E28</f>
        <v/>
      </c>
      <c r="F82" s="5">
        <f>(F12+F7)/F28</f>
        <v/>
      </c>
      <c r="G82" s="5">
        <f>(G12+G7)/G28</f>
        <v/>
      </c>
      <c r="H82" s="5">
        <f>(H12+H7)/H28</f>
        <v/>
      </c>
      <c r="I82" s="5">
        <f>(I12+I7)/I28</f>
        <v/>
      </c>
      <c r="J82" s="5">
        <f>(J12+J7)/J28</f>
        <v/>
      </c>
    </row>
    <row r="83">
      <c r="A83" s="2" t="inlineStr">
        <is>
          <t>预收占比</t>
        </is>
      </c>
      <c r="D83" s="5">
        <f>D11/D28</f>
        <v/>
      </c>
      <c r="E83" s="5">
        <f>E11/E28</f>
        <v/>
      </c>
      <c r="F83" s="5">
        <f>F11/F28</f>
        <v/>
      </c>
      <c r="G83" s="5">
        <f>G11/G28</f>
        <v/>
      </c>
      <c r="H83" s="5">
        <f>H11/H28</f>
        <v/>
      </c>
      <c r="I83" s="5">
        <f>I11/I28</f>
        <v/>
      </c>
      <c r="J83" s="5">
        <f>J11/J28</f>
        <v/>
      </c>
    </row>
    <row r="84">
      <c r="A84" s="2" t="inlineStr">
        <is>
          <t>利息支出/业务利润</t>
        </is>
      </c>
      <c r="D84" s="5">
        <f>D38/D59</f>
        <v/>
      </c>
      <c r="E84" s="5">
        <f>E38/E59</f>
        <v/>
      </c>
      <c r="F84" s="5">
        <f>F38/F59</f>
        <v/>
      </c>
      <c r="G84" s="5">
        <f>G38/G59</f>
        <v/>
      </c>
      <c r="H84" s="5">
        <f>H38/H59</f>
        <v/>
      </c>
      <c r="I84" s="5">
        <f>I38/I59</f>
        <v/>
      </c>
      <c r="J84" s="5">
        <f>J38/J59</f>
        <v/>
      </c>
    </row>
    <row r="85">
      <c r="A85" s="2" t="inlineStr">
        <is>
          <t>折旧摊销/长期资产</t>
        </is>
      </c>
      <c r="D85" s="5">
        <f>D23/D9</f>
        <v/>
      </c>
      <c r="E85" s="5">
        <f>E23/E9</f>
        <v/>
      </c>
      <c r="F85" s="5">
        <f>F23/F9</f>
        <v/>
      </c>
      <c r="G85" s="5">
        <f>G23/G9</f>
        <v/>
      </c>
      <c r="H85" s="5">
        <f>H23/H9</f>
        <v/>
      </c>
      <c r="I85" s="5">
        <f>I23/I9</f>
        <v/>
      </c>
      <c r="J85" s="5">
        <f>J23/J9</f>
        <v/>
      </c>
    </row>
    <row r="87">
      <c r="A87" s="2" t="inlineStr">
        <is>
          <t>资产结构</t>
        </is>
      </c>
      <c r="D87" s="3" t="n"/>
      <c r="E87" s="3" t="n"/>
      <c r="F87" s="3" t="n"/>
      <c r="G87" s="3" t="n"/>
      <c r="H87" s="3" t="n"/>
      <c r="I87" s="3" t="n"/>
      <c r="J87" s="3" t="n"/>
    </row>
    <row r="88">
      <c r="A88" s="2" t="inlineStr">
        <is>
          <t>现金资产</t>
        </is>
      </c>
      <c r="D88" s="5">
        <f>D3/D2</f>
        <v/>
      </c>
      <c r="E88" s="5">
        <f>E3/E2</f>
        <v/>
      </c>
      <c r="F88" s="5">
        <f>F3/F2</f>
        <v/>
      </c>
      <c r="G88" s="5">
        <f>G3/G2</f>
        <v/>
      </c>
      <c r="H88" s="5">
        <f>H3/H2</f>
        <v/>
      </c>
      <c r="I88" s="5">
        <f>I3/I2</f>
        <v/>
      </c>
      <c r="J88" s="5">
        <f>J3/J2</f>
        <v/>
      </c>
    </row>
    <row r="89">
      <c r="A89" s="2" t="inlineStr">
        <is>
          <t>股权资产</t>
        </is>
      </c>
      <c r="D89" s="5">
        <f>D4/D2</f>
        <v/>
      </c>
      <c r="E89" s="5">
        <f>E4/E2</f>
        <v/>
      </c>
      <c r="F89" s="5">
        <f>F4/F2</f>
        <v/>
      </c>
      <c r="G89" s="5">
        <f>G4/G2</f>
        <v/>
      </c>
      <c r="H89" s="5">
        <f>H4/H2</f>
        <v/>
      </c>
      <c r="I89" s="5">
        <f>I4/I2</f>
        <v/>
      </c>
      <c r="J89" s="5">
        <f>J4/J2</f>
        <v/>
      </c>
    </row>
    <row r="90">
      <c r="A90" s="2" t="inlineStr">
        <is>
          <t>经营资产</t>
        </is>
      </c>
      <c r="D90" s="5">
        <f>D5/D2</f>
        <v/>
      </c>
      <c r="E90" s="5">
        <f>E5/E2</f>
        <v/>
      </c>
      <c r="F90" s="5">
        <f>F5/F2</f>
        <v/>
      </c>
      <c r="G90" s="5">
        <f>G5/G2</f>
        <v/>
      </c>
      <c r="H90" s="5">
        <f>H5/H2</f>
        <v/>
      </c>
      <c r="I90" s="5">
        <f>I5/I2</f>
        <v/>
      </c>
      <c r="J90" s="5">
        <f>J5/J2</f>
        <v/>
      </c>
    </row>
    <row r="91">
      <c r="A91" s="2" t="inlineStr">
        <is>
          <t>长期资产</t>
        </is>
      </c>
      <c r="D91" s="5">
        <f>D9/D2</f>
        <v/>
      </c>
      <c r="E91" s="5">
        <f>E9/E2</f>
        <v/>
      </c>
      <c r="F91" s="5">
        <f>F9/F2</f>
        <v/>
      </c>
      <c r="G91" s="5">
        <f>G9/G2</f>
        <v/>
      </c>
      <c r="H91" s="5">
        <f>H9/H2</f>
        <v/>
      </c>
      <c r="I91" s="5">
        <f>I9/I2</f>
        <v/>
      </c>
      <c r="J91" s="5">
        <f>J9/J2</f>
        <v/>
      </c>
    </row>
    <row r="92">
      <c r="A92" s="2" t="inlineStr">
        <is>
          <t>负债结构</t>
        </is>
      </c>
      <c r="D92" s="3" t="n"/>
      <c r="E92" s="3" t="n"/>
      <c r="F92" s="3" t="n"/>
      <c r="G92" s="3" t="n"/>
      <c r="H92" s="3" t="n"/>
      <c r="I92" s="3" t="n"/>
      <c r="J92" s="3" t="n"/>
    </row>
    <row r="93">
      <c r="A93" s="2" t="inlineStr">
        <is>
          <t>经营负债</t>
        </is>
      </c>
      <c r="D93" s="5">
        <f>(D11+D12)/D10</f>
        <v/>
      </c>
      <c r="E93" s="5">
        <f>(E11+E12)/E10</f>
        <v/>
      </c>
      <c r="F93" s="5">
        <f>(F11+F12)/F10</f>
        <v/>
      </c>
      <c r="G93" s="5">
        <f>(G11+G12)/G10</f>
        <v/>
      </c>
      <c r="H93" s="5">
        <f>(H11+H12)/H10</f>
        <v/>
      </c>
      <c r="I93" s="5">
        <f>(I11+I12)/I10</f>
        <v/>
      </c>
      <c r="J93" s="5">
        <f>(J11+J12)/J10</f>
        <v/>
      </c>
    </row>
    <row r="94">
      <c r="A94" s="2" t="inlineStr">
        <is>
          <t>有息负债</t>
        </is>
      </c>
      <c r="D94" s="5">
        <f>D13/D10</f>
        <v/>
      </c>
      <c r="E94" s="5">
        <f>E13/E10</f>
        <v/>
      </c>
      <c r="F94" s="5">
        <f>F13/F10</f>
        <v/>
      </c>
      <c r="G94" s="5">
        <f>G13/G10</f>
        <v/>
      </c>
      <c r="H94" s="5">
        <f>H13/H10</f>
        <v/>
      </c>
      <c r="I94" s="5">
        <f>I13/I10</f>
        <v/>
      </c>
      <c r="J94" s="5">
        <f>J13/J10</f>
        <v/>
      </c>
    </row>
    <row r="95">
      <c r="A95" s="2" t="inlineStr">
        <is>
          <t>权益结构</t>
        </is>
      </c>
      <c r="D95" s="3" t="n"/>
      <c r="E95" s="3" t="n"/>
      <c r="F95" s="3" t="n"/>
      <c r="G95" s="3" t="n"/>
      <c r="H95" s="3" t="n"/>
      <c r="I95" s="3" t="n"/>
      <c r="J95" s="3" t="n"/>
    </row>
    <row r="96">
      <c r="A96" s="2" t="inlineStr">
        <is>
          <t>资本投入</t>
        </is>
      </c>
      <c r="D96" s="5">
        <f>D15/D14</f>
        <v/>
      </c>
      <c r="E96" s="5">
        <f>E15/E14</f>
        <v/>
      </c>
      <c r="F96" s="5">
        <f>F15/F14</f>
        <v/>
      </c>
      <c r="G96" s="5">
        <f>G15/G14</f>
        <v/>
      </c>
      <c r="H96" s="5">
        <f>H15/H14</f>
        <v/>
      </c>
      <c r="I96" s="5">
        <f>I15/I14</f>
        <v/>
      </c>
      <c r="J96" s="5">
        <f>J15/J14</f>
        <v/>
      </c>
    </row>
    <row r="97">
      <c r="A97" s="2" t="inlineStr">
        <is>
          <t>利润留存</t>
        </is>
      </c>
      <c r="D97" s="5">
        <f>D16/D14</f>
        <v/>
      </c>
      <c r="E97" s="5">
        <f>E16/E14</f>
        <v/>
      </c>
      <c r="F97" s="5">
        <f>F16/F14</f>
        <v/>
      </c>
      <c r="G97" s="5">
        <f>G16/G14</f>
        <v/>
      </c>
      <c r="H97" s="5">
        <f>H16/H14</f>
        <v/>
      </c>
      <c r="I97" s="5">
        <f>I16/I14</f>
        <v/>
      </c>
      <c r="J97" s="5">
        <f>J16/J14</f>
        <v/>
      </c>
    </row>
    <row r="99">
      <c r="A99" s="2" t="inlineStr">
        <is>
          <t>营收YoY</t>
        </is>
      </c>
      <c r="D99" s="5">
        <f>(D28-E28)/E28</f>
        <v/>
      </c>
      <c r="E99" s="5">
        <f>(E28-F28)/F28</f>
        <v/>
      </c>
      <c r="F99" s="5">
        <f>(F28-G28)/G28</f>
        <v/>
      </c>
      <c r="G99" s="5">
        <f>(G28-H28)/H28</f>
        <v/>
      </c>
      <c r="H99" s="5">
        <f>(H28-I28)/I28</f>
        <v/>
      </c>
      <c r="I99" s="5">
        <f>(I28-J28)/J28</f>
        <v/>
      </c>
      <c r="J99" s="6" t="n"/>
    </row>
    <row r="100">
      <c r="A100" s="2" t="inlineStr">
        <is>
          <t>业务净利润YoY</t>
        </is>
      </c>
      <c r="D100" s="5">
        <f>(D59-E59)/E59</f>
        <v/>
      </c>
      <c r="E100" s="5">
        <f>(E59-F59)/F59</f>
        <v/>
      </c>
      <c r="F100" s="5">
        <f>(F59-G59)/G59</f>
        <v/>
      </c>
      <c r="G100" s="5">
        <f>(G59-H59)/H59</f>
        <v/>
      </c>
      <c r="H100" s="5">
        <f>(H59-I59)/I59</f>
        <v/>
      </c>
      <c r="I100" s="5">
        <f>(I59-J59)/J59</f>
        <v/>
      </c>
      <c r="J100" s="6" t="n"/>
    </row>
    <row r="102">
      <c r="A102" s="2" t="inlineStr">
        <is>
          <t>资产YoY</t>
        </is>
      </c>
      <c r="D102" s="5">
        <f>(D2-E2)/E2</f>
        <v/>
      </c>
      <c r="E102" s="5">
        <f>(E2-F2)/F2</f>
        <v/>
      </c>
      <c r="F102" s="5">
        <f>(F2-G2)/G2</f>
        <v/>
      </c>
      <c r="G102" s="5">
        <f>(G2-H2)/H2</f>
        <v/>
      </c>
      <c r="H102" s="5">
        <f>(H2-I2)/I2</f>
        <v/>
      </c>
      <c r="I102" s="5">
        <f>(I2-J2)/J2</f>
        <v/>
      </c>
      <c r="J102" s="6" t="n"/>
    </row>
    <row r="103">
      <c r="A103" s="4" t="inlineStr">
        <is>
          <t>现金</t>
        </is>
      </c>
      <c r="D103" s="5">
        <f>(D3-E3)/E3</f>
        <v/>
      </c>
      <c r="E103" s="5">
        <f>(E3-F3)/F3</f>
        <v/>
      </c>
      <c r="F103" s="5">
        <f>(F3-G3)/G3</f>
        <v/>
      </c>
      <c r="G103" s="5">
        <f>(G3-H3)/H3</f>
        <v/>
      </c>
      <c r="H103" s="5">
        <f>(H3-I3)/I3</f>
        <v/>
      </c>
      <c r="I103" s="5">
        <f>(I3-J3)/J3</f>
        <v/>
      </c>
      <c r="J103" s="6" t="n"/>
    </row>
    <row r="104">
      <c r="A104" s="4" t="inlineStr">
        <is>
          <t>投资</t>
        </is>
      </c>
      <c r="D104" s="5">
        <f>(D4-E4)/E4</f>
        <v/>
      </c>
      <c r="E104" s="5">
        <f>(E4-F4)/F4</f>
        <v/>
      </c>
      <c r="F104" s="5">
        <f>(F4-G4)/G4</f>
        <v/>
      </c>
      <c r="G104" s="5">
        <f>(G4-H4)/H4</f>
        <v/>
      </c>
      <c r="H104" s="5">
        <f>(H4-I4)/I4</f>
        <v/>
      </c>
      <c r="I104" s="5">
        <f>(I4-J4)/J4</f>
        <v/>
      </c>
      <c r="J104" s="6" t="n"/>
    </row>
    <row r="105">
      <c r="A105" s="4" t="inlineStr">
        <is>
          <t>运营资产</t>
        </is>
      </c>
      <c r="D105" s="5">
        <f>(D5-E5)/E5</f>
        <v/>
      </c>
      <c r="E105" s="5">
        <f>(E5-F5)/F5</f>
        <v/>
      </c>
      <c r="F105" s="5">
        <f>(F5-G5)/G5</f>
        <v/>
      </c>
      <c r="G105" s="5">
        <f>(G5-H5)/H5</f>
        <v/>
      </c>
      <c r="H105" s="5">
        <f>(H5-I5)/I5</f>
        <v/>
      </c>
      <c r="I105" s="5">
        <f>(I5-J5)/J5</f>
        <v/>
      </c>
      <c r="J105" s="6" t="n"/>
    </row>
    <row r="106">
      <c r="A106" s="4" t="inlineStr">
        <is>
          <t>长期资产</t>
        </is>
      </c>
      <c r="D106" s="5">
        <f>(D9-E9)/E9</f>
        <v/>
      </c>
      <c r="E106" s="5">
        <f>(E9-F9)/F9</f>
        <v/>
      </c>
      <c r="F106" s="5">
        <f>(F9-G9)/G9</f>
        <v/>
      </c>
      <c r="G106" s="5">
        <f>(G9-H9)/H9</f>
        <v/>
      </c>
      <c r="H106" s="5">
        <f>(H9-I9)/I9</f>
        <v/>
      </c>
      <c r="I106" s="5">
        <f>(I9-J9)/J9</f>
        <v/>
      </c>
      <c r="J106" s="6" t="n"/>
    </row>
    <row r="107">
      <c r="A107" s="2" t="inlineStr">
        <is>
          <t>权益YoY</t>
        </is>
      </c>
      <c r="D107" s="5">
        <f>(D14-E14)/E14</f>
        <v/>
      </c>
      <c r="E107" s="5">
        <f>(E14-F14)/F14</f>
        <v/>
      </c>
      <c r="F107" s="5">
        <f>(F14-G14)/G14</f>
        <v/>
      </c>
      <c r="G107" s="5">
        <f>(G14-H14)/H14</f>
        <v/>
      </c>
      <c r="H107" s="5">
        <f>(H14-I14)/I14</f>
        <v/>
      </c>
      <c r="I107" s="5">
        <f>(I14-J14)/J14</f>
        <v/>
      </c>
      <c r="J107" s="6" t="n"/>
    </row>
    <row r="108">
      <c r="A108" s="4" t="inlineStr">
        <is>
          <t>资本投入</t>
        </is>
      </c>
      <c r="D108" s="5">
        <f>(D15-E15)/E15</f>
        <v/>
      </c>
      <c r="E108" s="5">
        <f>(E15-F15)/F15</f>
        <v/>
      </c>
      <c r="F108" s="5">
        <f>(F15-G15)/G15</f>
        <v/>
      </c>
      <c r="G108" s="5">
        <f>(G15-H15)/H15</f>
        <v/>
      </c>
      <c r="H108" s="5">
        <f>(H15-I15)/I15</f>
        <v/>
      </c>
      <c r="I108" s="5">
        <f>(I15-J15)/J15</f>
        <v/>
      </c>
      <c r="J108" s="6" t="n"/>
    </row>
    <row r="109">
      <c r="A109" s="4" t="inlineStr">
        <is>
          <t>未分配利润</t>
        </is>
      </c>
      <c r="D109" s="5">
        <f>(D16-E16)/E16</f>
        <v/>
      </c>
      <c r="E109" s="5">
        <f>(E16-F16)/F16</f>
        <v/>
      </c>
      <c r="F109" s="5">
        <f>(F16-G16)/G16</f>
        <v/>
      </c>
      <c r="G109" s="5">
        <f>(G16-H16)/H16</f>
        <v/>
      </c>
      <c r="H109" s="5">
        <f>(H16-I16)/I16</f>
        <v/>
      </c>
      <c r="I109" s="5">
        <f>(I16-J16)/J16</f>
        <v/>
      </c>
      <c r="J109" s="6" t="n"/>
    </row>
    <row r="110">
      <c r="A110" s="2" t="inlineStr">
        <is>
          <t>负债YoY</t>
        </is>
      </c>
      <c r="D110" s="5">
        <f>(D10-E10)/E10</f>
        <v/>
      </c>
      <c r="E110" s="5">
        <f>(E10-F10)/F10</f>
        <v/>
      </c>
      <c r="F110" s="5">
        <f>(F10-G10)/G10</f>
        <v/>
      </c>
      <c r="G110" s="5">
        <f>(G10-H10)/H10</f>
        <v/>
      </c>
      <c r="H110" s="5">
        <f>(H10-I10)/I10</f>
        <v/>
      </c>
      <c r="I110" s="5">
        <f>(I10-J10)/J10</f>
        <v/>
      </c>
      <c r="J110" s="6" t="n"/>
    </row>
    <row r="111">
      <c r="A111" s="4" t="inlineStr">
        <is>
          <t>预收</t>
        </is>
      </c>
      <c r="D111" s="5">
        <f>(D11-E11)/E11</f>
        <v/>
      </c>
      <c r="E111" s="5">
        <f>(E11-F11)/F11</f>
        <v/>
      </c>
      <c r="F111" s="5">
        <f>(F11-G11)/G11</f>
        <v/>
      </c>
      <c r="G111" s="5">
        <f>(G11-H11)/H11</f>
        <v/>
      </c>
      <c r="H111" s="5">
        <f>(H11-I11)/I11</f>
        <v/>
      </c>
      <c r="I111" s="5">
        <f>(I11-J11)/J11</f>
        <v/>
      </c>
      <c r="J111" s="6" t="n"/>
    </row>
    <row r="112">
      <c r="A112" s="4" t="inlineStr">
        <is>
          <t>应付</t>
        </is>
      </c>
      <c r="D112" s="5">
        <f>(D12-E12)/E12</f>
        <v/>
      </c>
      <c r="E112" s="5">
        <f>(E12-F12)/F12</f>
        <v/>
      </c>
      <c r="F112" s="5">
        <f>(F12-G12)/G12</f>
        <v/>
      </c>
      <c r="G112" s="5">
        <f>(G12-H12)/H12</f>
        <v/>
      </c>
      <c r="H112" s="5">
        <f>(H12-I12)/I12</f>
        <v/>
      </c>
      <c r="I112" s="5">
        <f>(I12-J12)/J12</f>
        <v/>
      </c>
      <c r="J112" s="6" t="n"/>
    </row>
    <row r="113">
      <c r="A113" s="4" t="inlineStr">
        <is>
          <t>有息债务</t>
        </is>
      </c>
      <c r="D113" s="5">
        <f>(D13-E13)/E13</f>
        <v/>
      </c>
      <c r="E113" s="5">
        <f>(E13-F13)/F13</f>
        <v/>
      </c>
      <c r="F113" s="5">
        <f>(F13-G13)/G13</f>
        <v/>
      </c>
      <c r="G113" s="5">
        <f>(G13-H13)/H13</f>
        <v/>
      </c>
      <c r="H113" s="5">
        <f>(H13-I13)/I13</f>
        <v/>
      </c>
      <c r="I113" s="5">
        <f>(I13-J13)/J13</f>
        <v/>
      </c>
      <c r="J113" s="6" t="n"/>
    </row>
    <row r="115">
      <c r="A115" s="2" t="inlineStr">
        <is>
          <t>ROE</t>
        </is>
      </c>
      <c r="D115" s="5">
        <f>D59/D14</f>
        <v/>
      </c>
      <c r="E115" s="5">
        <f>E59/E14</f>
        <v/>
      </c>
      <c r="F115" s="5">
        <f>F59/F14</f>
        <v/>
      </c>
      <c r="G115" s="5">
        <f>G59/G14</f>
        <v/>
      </c>
      <c r="H115" s="5">
        <f>H59/H14</f>
        <v/>
      </c>
      <c r="I115" s="5">
        <f>I59/I14</f>
        <v/>
      </c>
      <c r="J115" s="5">
        <f>J59/J14</f>
        <v/>
      </c>
    </row>
    <row r="116">
      <c r="A116" s="4" t="inlineStr">
        <is>
          <t>Net Proit</t>
        </is>
      </c>
      <c r="D116" s="5">
        <f>D59/D28</f>
        <v/>
      </c>
      <c r="E116" s="5">
        <f>E59/E28</f>
        <v/>
      </c>
      <c r="F116" s="5">
        <f>F59/F28</f>
        <v/>
      </c>
      <c r="G116" s="5">
        <f>G59/G28</f>
        <v/>
      </c>
      <c r="H116" s="5">
        <f>H59/H28</f>
        <v/>
      </c>
      <c r="I116" s="5">
        <f>I59/I28</f>
        <v/>
      </c>
      <c r="J116" s="5">
        <f>J59/J28</f>
        <v/>
      </c>
    </row>
    <row r="117">
      <c r="A117" s="4" t="inlineStr">
        <is>
          <t>主营收入/资产</t>
        </is>
      </c>
      <c r="D117" s="5">
        <f>D28/D2</f>
        <v/>
      </c>
      <c r="E117" s="5">
        <f>E28/E2</f>
        <v/>
      </c>
      <c r="F117" s="5">
        <f>F28/F2</f>
        <v/>
      </c>
      <c r="G117" s="5">
        <f>G28/G2</f>
        <v/>
      </c>
      <c r="H117" s="5">
        <f>H28/H2</f>
        <v/>
      </c>
      <c r="I117" s="5">
        <f>I28/I2</f>
        <v/>
      </c>
      <c r="J117" s="5">
        <f>J28/J2</f>
        <v/>
      </c>
    </row>
    <row r="118">
      <c r="A118" s="4" t="inlineStr">
        <is>
          <t>资产/资本</t>
        </is>
      </c>
      <c r="D118" s="5">
        <f>D2/D14</f>
        <v/>
      </c>
      <c r="E118" s="5">
        <f>E2/E14</f>
        <v/>
      </c>
      <c r="F118" s="5">
        <f>F2/F14</f>
        <v/>
      </c>
      <c r="G118" s="5">
        <f>G2/G14</f>
        <v/>
      </c>
      <c r="H118" s="5">
        <f>H2/H14</f>
        <v/>
      </c>
      <c r="I118" s="5">
        <f>I2/I14</f>
        <v/>
      </c>
      <c r="J118" s="5">
        <f>J2/J14</f>
        <v/>
      </c>
    </row>
    <row r="120">
      <c r="A120" s="2" t="inlineStr">
        <is>
          <t>股息</t>
        </is>
      </c>
      <c r="D120" s="3" t="n"/>
      <c r="E120" s="3" t="n"/>
      <c r="F120" s="3" t="n"/>
      <c r="G120" s="3" t="n"/>
      <c r="H120" s="3" t="n"/>
      <c r="I120" s="3" t="n"/>
      <c r="J120" s="3" t="n"/>
    </row>
    <row r="121">
      <c r="A121" s="2" t="inlineStr">
        <is>
          <t>EPS</t>
        </is>
      </c>
      <c r="D121" s="5">
        <f>D59/D26</f>
        <v/>
      </c>
      <c r="E121" s="5">
        <f>E59/E26</f>
        <v/>
      </c>
      <c r="F121" s="5">
        <f>F59/F26</f>
        <v/>
      </c>
      <c r="G121" s="5">
        <f>G59/G26</f>
        <v/>
      </c>
      <c r="H121" s="5">
        <f>H59/H26</f>
        <v/>
      </c>
      <c r="I121" s="5">
        <f>I59/I26</f>
        <v/>
      </c>
      <c r="J121" s="5">
        <f>J59/J26</f>
        <v/>
      </c>
    </row>
    <row r="122">
      <c r="A122" s="2" t="inlineStr">
        <is>
          <t>FPS</t>
        </is>
      </c>
      <c r="D122" s="5">
        <f>D69/D26</f>
        <v/>
      </c>
      <c r="E122" s="5">
        <f>E69/E26</f>
        <v/>
      </c>
      <c r="F122" s="5">
        <f>F69/F26</f>
        <v/>
      </c>
      <c r="G122" s="5">
        <f>G69/G26</f>
        <v/>
      </c>
      <c r="H122" s="5">
        <f>H69/H26</f>
        <v/>
      </c>
      <c r="I122" s="5">
        <f>I69/I26</f>
        <v/>
      </c>
      <c r="J122" s="5">
        <f>J69/J26</f>
        <v/>
      </c>
    </row>
    <row r="124">
      <c r="A124" s="2" t="inlineStr">
        <is>
          <t>价格（H）</t>
        </is>
      </c>
      <c r="D124" s="7" t="n"/>
      <c r="E124" s="7" t="n"/>
      <c r="F124" s="7" t="n"/>
      <c r="G124" s="7" t="n"/>
      <c r="H124" s="7" t="n"/>
      <c r="I124" s="7" t="n"/>
      <c r="J124" s="7" t="n"/>
    </row>
    <row r="125">
      <c r="A125" s="2" t="inlineStr">
        <is>
          <t>价格（L）</t>
        </is>
      </c>
      <c r="D125" s="7" t="n"/>
      <c r="E125" s="7" t="n"/>
      <c r="F125" s="7" t="n"/>
      <c r="G125" s="7" t="n"/>
      <c r="H125" s="7" t="n"/>
      <c r="I125" s="7" t="n"/>
      <c r="J125" s="7" t="n"/>
    </row>
    <row r="126">
      <c r="A126" s="2" t="inlineStr">
        <is>
          <t>PE</t>
        </is>
      </c>
      <c r="D126" s="5">
        <f>D124/(D59/D26)</f>
        <v/>
      </c>
      <c r="E126" s="5">
        <f>E124/(E59/E26)</f>
        <v/>
      </c>
      <c r="F126" s="5">
        <f>F124/(F59/F26)</f>
        <v/>
      </c>
      <c r="G126" s="5">
        <f>G124/(G59/G26)</f>
        <v/>
      </c>
      <c r="H126" s="5">
        <f>H124/(H59/H26)</f>
        <v/>
      </c>
      <c r="I126" s="5">
        <f>I124/(I59/I26)</f>
        <v/>
      </c>
      <c r="J126" s="5">
        <f>J124/(J59/J26)</f>
        <v/>
      </c>
    </row>
    <row r="127">
      <c r="A127" s="2" t="inlineStr">
        <is>
          <t>PE</t>
        </is>
      </c>
      <c r="D127" s="5">
        <f>D125/(D59/D26)</f>
        <v/>
      </c>
      <c r="E127" s="5">
        <f>E125/(E59/E26)</f>
        <v/>
      </c>
      <c r="F127" s="5">
        <f>F125/(F59/F26)</f>
        <v/>
      </c>
      <c r="G127" s="5">
        <f>G125/(G59/G26)</f>
        <v/>
      </c>
      <c r="H127" s="5">
        <f>H125/(H59/H26)</f>
        <v/>
      </c>
      <c r="I127" s="5">
        <f>I125/(I59/I26)</f>
        <v/>
      </c>
      <c r="J127" s="5">
        <f>J125/(J59/J26)</f>
        <v/>
      </c>
    </row>
    <row r="128">
      <c r="A128" s="2" t="inlineStr">
        <is>
          <t>股息率</t>
        </is>
      </c>
      <c r="D128" s="5">
        <f>(D17/D26)/D124</f>
        <v/>
      </c>
      <c r="E128" s="5">
        <f>(E17/E26)/E124</f>
        <v/>
      </c>
      <c r="F128" s="5">
        <f>(F17/F26)/F124</f>
        <v/>
      </c>
      <c r="G128" s="5">
        <f>(G17/G26)/G124</f>
        <v/>
      </c>
      <c r="H128" s="5">
        <f>(H17/H26)/H124</f>
        <v/>
      </c>
      <c r="I128" s="5">
        <f>(I17/I26)/I124</f>
        <v/>
      </c>
      <c r="J128" s="5">
        <f>(J17/J26)/J124</f>
        <v/>
      </c>
    </row>
    <row r="129">
      <c r="A129" s="2" t="inlineStr">
        <is>
          <t>股息率</t>
        </is>
      </c>
      <c r="D129" s="5">
        <f>(D17/D26)/D125</f>
        <v/>
      </c>
      <c r="E129" s="5">
        <f>(E17/E26)/E125</f>
        <v/>
      </c>
      <c r="F129" s="5">
        <f>(F17/F26)/F125</f>
        <v/>
      </c>
      <c r="G129" s="5">
        <f>(G17/G26)/G125</f>
        <v/>
      </c>
      <c r="H129" s="5">
        <f>(H17/H26)/H125</f>
        <v/>
      </c>
      <c r="I129" s="5">
        <f>(I17/I26)/I125</f>
        <v/>
      </c>
      <c r="J129" s="5">
        <f>(J17/J26)/J125</f>
        <v/>
      </c>
    </row>
    <row r="132">
      <c r="A132" s="2" t="inlineStr">
        <is>
          <t>市值</t>
        </is>
      </c>
      <c r="D132" s="5">
        <f>D124*D26</f>
        <v/>
      </c>
      <c r="E132" s="5">
        <f>E124*E26</f>
        <v/>
      </c>
      <c r="F132" s="5">
        <f>F124*F26</f>
        <v/>
      </c>
      <c r="G132" s="5">
        <f>G124*G26</f>
        <v/>
      </c>
      <c r="H132" s="5">
        <f>H124*H26</f>
        <v/>
      </c>
      <c r="I132" s="5">
        <f>I124*I26</f>
        <v/>
      </c>
      <c r="J132" s="5">
        <f>J124*J26</f>
        <v/>
      </c>
    </row>
    <row r="133">
      <c r="A133" s="2" t="inlineStr">
        <is>
          <t>市值</t>
        </is>
      </c>
      <c r="D133" s="5">
        <f>D125*D26</f>
        <v/>
      </c>
      <c r="E133" s="5">
        <f>E125*E26</f>
        <v/>
      </c>
      <c r="F133" s="5">
        <f>F125*F26</f>
        <v/>
      </c>
      <c r="G133" s="5">
        <f>G125*G26</f>
        <v/>
      </c>
      <c r="H133" s="5">
        <f>H125*H26</f>
        <v/>
      </c>
      <c r="I133" s="5">
        <f>I125*I26</f>
        <v/>
      </c>
      <c r="J133" s="5">
        <f>J125*J26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2026-02-04T05:02:16Z</dcterms:created>
  <dcterms:modified xsi:type="dcterms:W3CDTF">2026-02-04T05:02:16Z</dcterms:modified>
</cp:coreProperties>
</file>