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36a998a9089bd/公司调研/Beta 03/金山办公/"/>
    </mc:Choice>
  </mc:AlternateContent>
  <xr:revisionPtr revIDLastSave="4086" documentId="8_{683E102D-2206-EE48-82FC-86BD8F90AC93}" xr6:coauthVersionLast="47" xr6:coauthVersionMax="47" xr10:uidLastSave="{F6D8EC7E-F084-4C53-888A-0B3AEFB941B0}"/>
  <bookViews>
    <workbookView xWindow="-120" yWindow="-120" windowWidth="38640" windowHeight="21240" firstSheet="1" activeTab="5" xr2:uid="{75A1D986-1A4D-0948-84DB-59B63E790B35}"/>
  </bookViews>
  <sheets>
    <sheet name="balance sheet（处理后）" sheetId="8" state="hidden" r:id="rId1"/>
    <sheet name="balance" sheetId="2" r:id="rId2"/>
    <sheet name="损益现金流" sheetId="1" r:id="rId3"/>
    <sheet name="营运资本变动" sheetId="4" r:id="rId4"/>
    <sheet name="收入成本" sheetId="6" r:id="rId5"/>
    <sheet name="Beta_04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6" i="9" l="1"/>
  <c r="C126" i="9"/>
  <c r="B127" i="9"/>
  <c r="C127" i="9"/>
  <c r="B121" i="9"/>
  <c r="C121" i="9"/>
  <c r="B59" i="9"/>
  <c r="C59" i="9"/>
  <c r="B132" i="9"/>
  <c r="C132" i="9"/>
  <c r="B133" i="9"/>
  <c r="C133" i="9"/>
  <c r="E126" i="9"/>
  <c r="F126" i="9"/>
  <c r="G126" i="9"/>
  <c r="H126" i="9"/>
  <c r="I126" i="9"/>
  <c r="E127" i="9"/>
  <c r="F127" i="9"/>
  <c r="G127" i="9"/>
  <c r="H127" i="9"/>
  <c r="I127" i="9"/>
  <c r="E128" i="9"/>
  <c r="F128" i="9"/>
  <c r="G128" i="9"/>
  <c r="H128" i="9"/>
  <c r="I128" i="9"/>
  <c r="E129" i="9"/>
  <c r="F129" i="9"/>
  <c r="G129" i="9"/>
  <c r="H129" i="9"/>
  <c r="I129" i="9"/>
  <c r="E132" i="9"/>
  <c r="F132" i="9"/>
  <c r="G132" i="9"/>
  <c r="H132" i="9"/>
  <c r="I132" i="9"/>
  <c r="E133" i="9"/>
  <c r="F133" i="9"/>
  <c r="G133" i="9"/>
  <c r="H133" i="9"/>
  <c r="I133" i="9"/>
  <c r="D133" i="9"/>
  <c r="D132" i="9"/>
  <c r="D129" i="9"/>
  <c r="D128" i="9"/>
  <c r="D127" i="9"/>
  <c r="D126" i="9"/>
  <c r="E120" i="9"/>
  <c r="F120" i="9"/>
  <c r="G120" i="9"/>
  <c r="H120" i="9"/>
  <c r="I120" i="9"/>
  <c r="E121" i="9"/>
  <c r="F121" i="9"/>
  <c r="G121" i="9"/>
  <c r="H121" i="9"/>
  <c r="I121" i="9"/>
  <c r="E122" i="9"/>
  <c r="F122" i="9"/>
  <c r="G122" i="9"/>
  <c r="H122" i="9"/>
  <c r="I122" i="9"/>
  <c r="D122" i="9"/>
  <c r="D121" i="9"/>
  <c r="D120" i="9"/>
  <c r="E115" i="9"/>
  <c r="F115" i="9"/>
  <c r="G115" i="9"/>
  <c r="H115" i="9"/>
  <c r="I115" i="9"/>
  <c r="E116" i="9"/>
  <c r="F116" i="9"/>
  <c r="G116" i="9"/>
  <c r="H116" i="9"/>
  <c r="I116" i="9"/>
  <c r="E117" i="9"/>
  <c r="F117" i="9"/>
  <c r="G117" i="9"/>
  <c r="H117" i="9"/>
  <c r="I117" i="9"/>
  <c r="E118" i="9"/>
  <c r="F118" i="9"/>
  <c r="G118" i="9"/>
  <c r="H118" i="9"/>
  <c r="I118" i="9"/>
  <c r="D118" i="9"/>
  <c r="D117" i="9"/>
  <c r="D116" i="9"/>
  <c r="D115" i="9"/>
  <c r="E102" i="9"/>
  <c r="E103" i="9" s="1"/>
  <c r="F102" i="9"/>
  <c r="F105" i="9" s="1"/>
  <c r="G102" i="9"/>
  <c r="G103" i="9" s="1"/>
  <c r="H102" i="9"/>
  <c r="H103" i="9" s="1"/>
  <c r="E104" i="9"/>
  <c r="F104" i="9"/>
  <c r="G104" i="9"/>
  <c r="H104" i="9"/>
  <c r="E105" i="9"/>
  <c r="G105" i="9"/>
  <c r="H105" i="9"/>
  <c r="E106" i="9"/>
  <c r="G106" i="9"/>
  <c r="H106" i="9"/>
  <c r="E107" i="9"/>
  <c r="E109" i="9" s="1"/>
  <c r="F107" i="9"/>
  <c r="F109" i="9" s="1"/>
  <c r="G107" i="9"/>
  <c r="G108" i="9" s="1"/>
  <c r="H107" i="9"/>
  <c r="H108" i="9" s="1"/>
  <c r="E108" i="9"/>
  <c r="F108" i="9"/>
  <c r="E110" i="9"/>
  <c r="E112" i="9" s="1"/>
  <c r="F110" i="9"/>
  <c r="F112" i="9" s="1"/>
  <c r="G110" i="9"/>
  <c r="G112" i="9" s="1"/>
  <c r="H110" i="9"/>
  <c r="H111" i="9" s="1"/>
  <c r="E111" i="9"/>
  <c r="F111" i="9"/>
  <c r="G111" i="9"/>
  <c r="G113" i="9"/>
  <c r="D112" i="9"/>
  <c r="D110" i="9"/>
  <c r="D113" i="9" s="1"/>
  <c r="D107" i="9"/>
  <c r="D109" i="9" s="1"/>
  <c r="D102" i="9"/>
  <c r="D106" i="9" s="1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8" i="9"/>
  <c r="F88" i="9"/>
  <c r="G88" i="9"/>
  <c r="H88" i="9"/>
  <c r="I88" i="9"/>
  <c r="E89" i="9"/>
  <c r="F89" i="9"/>
  <c r="G89" i="9"/>
  <c r="H89" i="9"/>
  <c r="I89" i="9"/>
  <c r="E90" i="9"/>
  <c r="F90" i="9"/>
  <c r="G90" i="9"/>
  <c r="H90" i="9"/>
  <c r="I90" i="9"/>
  <c r="E91" i="9"/>
  <c r="F91" i="9"/>
  <c r="G91" i="9"/>
  <c r="H91" i="9"/>
  <c r="I91" i="9"/>
  <c r="E93" i="9"/>
  <c r="F93" i="9"/>
  <c r="G93" i="9"/>
  <c r="H93" i="9"/>
  <c r="I93" i="9"/>
  <c r="E94" i="9"/>
  <c r="F94" i="9"/>
  <c r="G94" i="9"/>
  <c r="H94" i="9"/>
  <c r="I94" i="9"/>
  <c r="E96" i="9"/>
  <c r="F96" i="9"/>
  <c r="G96" i="9"/>
  <c r="H96" i="9"/>
  <c r="I96" i="9"/>
  <c r="E97" i="9"/>
  <c r="F97" i="9"/>
  <c r="G97" i="9"/>
  <c r="H97" i="9"/>
  <c r="I97" i="9"/>
  <c r="E99" i="9"/>
  <c r="F99" i="9"/>
  <c r="G99" i="9"/>
  <c r="H99" i="9"/>
  <c r="E100" i="9"/>
  <c r="F100" i="9"/>
  <c r="G100" i="9"/>
  <c r="H100" i="9"/>
  <c r="D100" i="9"/>
  <c r="D99" i="9"/>
  <c r="D97" i="9"/>
  <c r="D96" i="9"/>
  <c r="D94" i="9"/>
  <c r="D93" i="9"/>
  <c r="D91" i="9"/>
  <c r="D90" i="9"/>
  <c r="D89" i="9"/>
  <c r="D88" i="9"/>
  <c r="D85" i="9"/>
  <c r="D84" i="9"/>
  <c r="D83" i="9"/>
  <c r="D82" i="9"/>
  <c r="D81" i="9"/>
  <c r="D80" i="9"/>
  <c r="D79" i="9"/>
  <c r="D77" i="9"/>
  <c r="D76" i="9"/>
  <c r="D75" i="9"/>
  <c r="D74" i="9"/>
  <c r="D73" i="9"/>
  <c r="D72" i="9"/>
  <c r="E50" i="9"/>
  <c r="F50" i="9"/>
  <c r="G50" i="9"/>
  <c r="H50" i="9"/>
  <c r="H59" i="9" s="1"/>
  <c r="H63" i="9" s="1"/>
  <c r="I50" i="9"/>
  <c r="I59" i="9" s="1"/>
  <c r="I63" i="9" s="1"/>
  <c r="E51" i="9"/>
  <c r="F51" i="9"/>
  <c r="G51" i="9"/>
  <c r="H51" i="9"/>
  <c r="I51" i="9"/>
  <c r="E52" i="9"/>
  <c r="F52" i="9"/>
  <c r="G52" i="9"/>
  <c r="H52" i="9"/>
  <c r="I52" i="9"/>
  <c r="E53" i="9"/>
  <c r="E59" i="9" s="1"/>
  <c r="E63" i="9" s="1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F59" i="9" s="1"/>
  <c r="F63" i="9" s="1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G59" i="9"/>
  <c r="G63" i="9" s="1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4" i="9"/>
  <c r="F64" i="9"/>
  <c r="G64" i="9"/>
  <c r="H64" i="9"/>
  <c r="I64" i="9"/>
  <c r="E66" i="9"/>
  <c r="F66" i="9"/>
  <c r="G66" i="9"/>
  <c r="H66" i="9"/>
  <c r="I66" i="9"/>
  <c r="E67" i="9"/>
  <c r="F67" i="9"/>
  <c r="G67" i="9"/>
  <c r="H67" i="9"/>
  <c r="I67" i="9"/>
  <c r="D67" i="9"/>
  <c r="D66" i="9"/>
  <c r="D64" i="9"/>
  <c r="D62" i="9"/>
  <c r="D61" i="9"/>
  <c r="D60" i="9"/>
  <c r="D58" i="9"/>
  <c r="D57" i="9"/>
  <c r="D56" i="9"/>
  <c r="D55" i="9"/>
  <c r="D54" i="9"/>
  <c r="D59" i="9" s="1"/>
  <c r="D63" i="9" s="1"/>
  <c r="D53" i="9"/>
  <c r="D52" i="9"/>
  <c r="D51" i="9"/>
  <c r="D50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1" i="9"/>
  <c r="F41" i="9"/>
  <c r="G41" i="9"/>
  <c r="H41" i="9"/>
  <c r="I41" i="9"/>
  <c r="E42" i="9"/>
  <c r="F42" i="9"/>
  <c r="G42" i="9"/>
  <c r="H42" i="9"/>
  <c r="I42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D46" i="9"/>
  <c r="D45" i="9"/>
  <c r="D44" i="9"/>
  <c r="D42" i="9"/>
  <c r="D41" i="9"/>
  <c r="D39" i="9"/>
  <c r="D38" i="9"/>
  <c r="D35" i="9"/>
  <c r="D34" i="9"/>
  <c r="D33" i="9"/>
  <c r="D32" i="9"/>
  <c r="D31" i="9"/>
  <c r="D30" i="9"/>
  <c r="D29" i="9"/>
  <c r="D28" i="9"/>
  <c r="E17" i="9"/>
  <c r="F17" i="9"/>
  <c r="G17" i="9"/>
  <c r="H17" i="9"/>
  <c r="I17" i="9"/>
  <c r="D17" i="9"/>
  <c r="E7" i="9"/>
  <c r="F7" i="9"/>
  <c r="G7" i="9"/>
  <c r="H7" i="9"/>
  <c r="I7" i="9"/>
  <c r="D7" i="9"/>
  <c r="E26" i="9"/>
  <c r="F26" i="9"/>
  <c r="G26" i="9"/>
  <c r="H26" i="9"/>
  <c r="I26" i="9"/>
  <c r="D26" i="9"/>
  <c r="C26" i="9" s="1"/>
  <c r="B26" i="9" s="1"/>
  <c r="E23" i="9"/>
  <c r="F23" i="9"/>
  <c r="G23" i="9"/>
  <c r="H23" i="9"/>
  <c r="I23" i="9"/>
  <c r="E24" i="9"/>
  <c r="F24" i="9"/>
  <c r="G24" i="9"/>
  <c r="H24" i="9"/>
  <c r="I24" i="9"/>
  <c r="D24" i="9"/>
  <c r="D23" i="9"/>
  <c r="E15" i="9"/>
  <c r="F15" i="9"/>
  <c r="G15" i="9"/>
  <c r="H15" i="9"/>
  <c r="I15" i="9"/>
  <c r="D15" i="9"/>
  <c r="E2" i="9"/>
  <c r="F2" i="9"/>
  <c r="G2" i="9"/>
  <c r="H2" i="9"/>
  <c r="I2" i="9"/>
  <c r="E3" i="9"/>
  <c r="F3" i="9"/>
  <c r="G3" i="9"/>
  <c r="H3" i="9"/>
  <c r="I3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8" i="9"/>
  <c r="F8" i="9"/>
  <c r="G8" i="9"/>
  <c r="H8" i="9"/>
  <c r="I8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14" i="9"/>
  <c r="F14" i="9"/>
  <c r="G14" i="9"/>
  <c r="H14" i="9"/>
  <c r="I14" i="9"/>
  <c r="E16" i="9"/>
  <c r="E20" i="9" s="1"/>
  <c r="F16" i="9"/>
  <c r="F20" i="9" s="1"/>
  <c r="G16" i="9"/>
  <c r="G20" i="9" s="1"/>
  <c r="H16" i="9"/>
  <c r="H20" i="9" s="1"/>
  <c r="I16" i="9"/>
  <c r="I20" i="9" s="1"/>
  <c r="D16" i="9"/>
  <c r="D20" i="9" s="1"/>
  <c r="D14" i="9"/>
  <c r="D13" i="9"/>
  <c r="D12" i="9"/>
  <c r="D11" i="9"/>
  <c r="D10" i="9"/>
  <c r="D9" i="9"/>
  <c r="D8" i="9"/>
  <c r="D6" i="9"/>
  <c r="D5" i="9"/>
  <c r="D4" i="9"/>
  <c r="D3" i="9"/>
  <c r="D2" i="9"/>
  <c r="H113" i="9" l="1"/>
  <c r="F113" i="9"/>
  <c r="E113" i="9"/>
  <c r="H109" i="9"/>
  <c r="F103" i="9"/>
  <c r="H112" i="9"/>
  <c r="G109" i="9"/>
  <c r="F106" i="9"/>
  <c r="D103" i="9"/>
  <c r="D104" i="9"/>
  <c r="D105" i="9"/>
  <c r="D108" i="9"/>
  <c r="D111" i="9"/>
  <c r="G69" i="9"/>
  <c r="G65" i="9"/>
  <c r="G68" i="9" s="1"/>
  <c r="E69" i="9"/>
  <c r="E65" i="9"/>
  <c r="E68" i="9" s="1"/>
  <c r="I69" i="9"/>
  <c r="I65" i="9"/>
  <c r="I68" i="9" s="1"/>
  <c r="F69" i="9"/>
  <c r="F65" i="9"/>
  <c r="F68" i="9" s="1"/>
  <c r="H69" i="9"/>
  <c r="H65" i="9"/>
  <c r="H68" i="9" s="1"/>
  <c r="D69" i="9"/>
  <c r="D65" i="9"/>
  <c r="D68" i="9" s="1"/>
  <c r="F21" i="9"/>
  <c r="H21" i="9"/>
  <c r="G21" i="9"/>
  <c r="I21" i="9"/>
  <c r="E21" i="9"/>
  <c r="D21" i="9"/>
  <c r="F3" i="8" l="1"/>
  <c r="G3" i="8"/>
  <c r="H3" i="8"/>
  <c r="D3" i="8"/>
  <c r="E3" i="8"/>
  <c r="C3" i="8"/>
  <c r="C18" i="1" l="1"/>
  <c r="B18" i="1"/>
  <c r="B22" i="1"/>
  <c r="C22" i="1"/>
  <c r="C16" i="1"/>
  <c r="B16" i="1"/>
  <c r="E18" i="1"/>
  <c r="D18" i="1"/>
  <c r="E16" i="1"/>
  <c r="E19" i="1" s="1"/>
  <c r="D16" i="1"/>
  <c r="E20" i="1"/>
  <c r="E22" i="1" s="1"/>
  <c r="D20" i="1"/>
  <c r="D22" i="1" s="1"/>
  <c r="G18" i="1"/>
  <c r="G19" i="1" s="1"/>
  <c r="G22" i="1"/>
  <c r="F18" i="1"/>
  <c r="F16" i="1"/>
  <c r="F20" i="1"/>
  <c r="F22" i="1"/>
  <c r="H13" i="8"/>
  <c r="H10" i="8" s="1"/>
  <c r="G13" i="8"/>
  <c r="G10" i="8" s="1"/>
  <c r="F19" i="8"/>
  <c r="F7" i="8"/>
  <c r="F23" i="8"/>
  <c r="E22" i="8"/>
  <c r="E7" i="8"/>
  <c r="E23" i="8"/>
  <c r="D7" i="8"/>
  <c r="C7" i="8"/>
  <c r="D23" i="8"/>
  <c r="D15" i="8" s="1"/>
  <c r="C23" i="8"/>
  <c r="C15" i="8" s="1"/>
  <c r="H55" i="8"/>
  <c r="G55" i="8"/>
  <c r="F55" i="8"/>
  <c r="E55" i="8"/>
  <c r="D55" i="8"/>
  <c r="C55" i="8"/>
  <c r="H52" i="8"/>
  <c r="G52" i="8"/>
  <c r="F52" i="8"/>
  <c r="E52" i="8"/>
  <c r="D52" i="8"/>
  <c r="C52" i="8"/>
  <c r="H49" i="8"/>
  <c r="G49" i="8"/>
  <c r="F49" i="8"/>
  <c r="E49" i="8"/>
  <c r="D49" i="8"/>
  <c r="C49" i="8"/>
  <c r="H35" i="8"/>
  <c r="G35" i="8"/>
  <c r="F35" i="8"/>
  <c r="E35" i="8"/>
  <c r="D35" i="8"/>
  <c r="C35" i="8"/>
  <c r="H26" i="8"/>
  <c r="G26" i="8"/>
  <c r="F26" i="8"/>
  <c r="E26" i="8"/>
  <c r="D26" i="8"/>
  <c r="C26" i="8"/>
  <c r="H15" i="8"/>
  <c r="G15" i="8"/>
  <c r="F10" i="8"/>
  <c r="E10" i="8"/>
  <c r="D10" i="8"/>
  <c r="C10" i="8"/>
  <c r="E30" i="6"/>
  <c r="F30" i="6"/>
  <c r="G30" i="6"/>
  <c r="H30" i="6"/>
  <c r="E31" i="6"/>
  <c r="F31" i="6"/>
  <c r="G31" i="6"/>
  <c r="H31" i="6"/>
  <c r="E26" i="6"/>
  <c r="F26" i="6"/>
  <c r="G26" i="6"/>
  <c r="H26" i="6"/>
  <c r="E27" i="6"/>
  <c r="F27" i="6"/>
  <c r="G27" i="6"/>
  <c r="H27" i="6"/>
  <c r="D30" i="6"/>
  <c r="D31" i="6" s="1"/>
  <c r="D26" i="6"/>
  <c r="D27" i="6" s="1"/>
  <c r="C30" i="6"/>
  <c r="C31" i="6" s="1"/>
  <c r="C26" i="6"/>
  <c r="C27" i="6" s="1"/>
  <c r="B30" i="6"/>
  <c r="B31" i="6" s="1"/>
  <c r="B26" i="6"/>
  <c r="B27" i="6" s="1"/>
  <c r="E24" i="4"/>
  <c r="F24" i="4"/>
  <c r="E21" i="4"/>
  <c r="F21" i="4"/>
  <c r="E9" i="4"/>
  <c r="F9" i="4"/>
  <c r="C24" i="4"/>
  <c r="D24" i="4"/>
  <c r="C21" i="4"/>
  <c r="D21" i="4"/>
  <c r="C9" i="4"/>
  <c r="D9" i="4"/>
  <c r="B24" i="4"/>
  <c r="B21" i="4"/>
  <c r="B9" i="4"/>
  <c r="F99" i="1"/>
  <c r="F84" i="1"/>
  <c r="G84" i="1"/>
  <c r="F85" i="1"/>
  <c r="G85" i="1"/>
  <c r="F87" i="1"/>
  <c r="G87" i="1"/>
  <c r="E99" i="1"/>
  <c r="H19" i="2"/>
  <c r="H15" i="2" s="1"/>
  <c r="G19" i="2"/>
  <c r="G15" i="2" s="1"/>
  <c r="F78" i="1"/>
  <c r="G78" i="1"/>
  <c r="F74" i="1"/>
  <c r="G74" i="1"/>
  <c r="B68" i="1"/>
  <c r="C68" i="1"/>
  <c r="D68" i="1"/>
  <c r="E68" i="1"/>
  <c r="F68" i="1"/>
  <c r="G68" i="1"/>
  <c r="F63" i="1"/>
  <c r="G63" i="1"/>
  <c r="G55" i="1"/>
  <c r="F55" i="1"/>
  <c r="F50" i="1"/>
  <c r="G50" i="1"/>
  <c r="F19" i="1"/>
  <c r="F25" i="1"/>
  <c r="G25" i="1"/>
  <c r="F15" i="1"/>
  <c r="G15" i="1"/>
  <c r="F4" i="1"/>
  <c r="G4" i="1"/>
  <c r="G54" i="2"/>
  <c r="H54" i="2"/>
  <c r="G51" i="2"/>
  <c r="H51" i="2"/>
  <c r="G48" i="2"/>
  <c r="H48" i="2"/>
  <c r="G34" i="2"/>
  <c r="H34" i="2"/>
  <c r="G25" i="2"/>
  <c r="H25" i="2"/>
  <c r="G11" i="2"/>
  <c r="H11" i="2"/>
  <c r="G3" i="2"/>
  <c r="H3" i="2"/>
  <c r="C99" i="1"/>
  <c r="D99" i="1"/>
  <c r="D84" i="1"/>
  <c r="E84" i="1"/>
  <c r="D85" i="1"/>
  <c r="E85" i="1"/>
  <c r="D87" i="1"/>
  <c r="E87" i="1"/>
  <c r="C84" i="1"/>
  <c r="C85" i="1"/>
  <c r="C87" i="1"/>
  <c r="E22" i="2"/>
  <c r="E15" i="2" s="1"/>
  <c r="D78" i="1"/>
  <c r="E78" i="1"/>
  <c r="D74" i="1"/>
  <c r="E74" i="1"/>
  <c r="B63" i="1"/>
  <c r="C63" i="1"/>
  <c r="D63" i="1"/>
  <c r="E63" i="1"/>
  <c r="D55" i="1"/>
  <c r="E55" i="1"/>
  <c r="D50" i="1"/>
  <c r="E50" i="1"/>
  <c r="E25" i="1"/>
  <c r="D25" i="1"/>
  <c r="D15" i="1"/>
  <c r="E15" i="1"/>
  <c r="D4" i="1"/>
  <c r="E4" i="1"/>
  <c r="E54" i="2"/>
  <c r="F54" i="2"/>
  <c r="E34" i="2"/>
  <c r="F34" i="2"/>
  <c r="E48" i="2"/>
  <c r="F48" i="2"/>
  <c r="E51" i="2"/>
  <c r="F51" i="2"/>
  <c r="F19" i="2"/>
  <c r="F15" i="2" s="1"/>
  <c r="E25" i="2"/>
  <c r="F25" i="2"/>
  <c r="E11" i="2"/>
  <c r="F11" i="2"/>
  <c r="F3" i="2"/>
  <c r="E3" i="2"/>
  <c r="D11" i="2"/>
  <c r="C11" i="2"/>
  <c r="B99" i="1"/>
  <c r="B84" i="1"/>
  <c r="B85" i="1"/>
  <c r="B87" i="1"/>
  <c r="C4" i="1"/>
  <c r="B4" i="1"/>
  <c r="C78" i="1"/>
  <c r="B78" i="1"/>
  <c r="C74" i="1"/>
  <c r="B74" i="1"/>
  <c r="C55" i="1"/>
  <c r="B55" i="1"/>
  <c r="C50" i="1"/>
  <c r="B50" i="1"/>
  <c r="C19" i="1"/>
  <c r="B19" i="1"/>
  <c r="B15" i="1"/>
  <c r="B23" i="1" s="1"/>
  <c r="D34" i="2"/>
  <c r="D15" i="2"/>
  <c r="C15" i="2"/>
  <c r="C15" i="1"/>
  <c r="C23" i="1" s="1"/>
  <c r="C34" i="2"/>
  <c r="D51" i="2"/>
  <c r="C51" i="2"/>
  <c r="D48" i="2"/>
  <c r="C48" i="2"/>
  <c r="D25" i="2"/>
  <c r="C25" i="2"/>
  <c r="D3" i="2"/>
  <c r="C3" i="2"/>
  <c r="D54" i="2"/>
  <c r="C54" i="2"/>
  <c r="D19" i="1" l="1"/>
  <c r="D36" i="9"/>
  <c r="D37" i="9"/>
  <c r="F15" i="8"/>
  <c r="E15" i="8"/>
  <c r="E23" i="1"/>
  <c r="E26" i="1" s="1"/>
  <c r="G23" i="1"/>
  <c r="G26" i="1" s="1"/>
  <c r="G28" i="1" s="1"/>
  <c r="F23" i="1"/>
  <c r="F26" i="1" s="1"/>
  <c r="F28" i="1" s="1"/>
  <c r="F46" i="1" s="1"/>
  <c r="C69" i="1"/>
  <c r="B79" i="1"/>
  <c r="E56" i="1"/>
  <c r="E86" i="1" s="1"/>
  <c r="D34" i="8"/>
  <c r="C34" i="8"/>
  <c r="D2" i="8"/>
  <c r="E2" i="8"/>
  <c r="F34" i="8"/>
  <c r="H2" i="8"/>
  <c r="H34" i="8"/>
  <c r="F2" i="8"/>
  <c r="E34" i="8"/>
  <c r="G34" i="8"/>
  <c r="G2" i="8"/>
  <c r="C2" i="8"/>
  <c r="F91" i="1"/>
  <c r="B100" i="1"/>
  <c r="E91" i="1"/>
  <c r="C91" i="1"/>
  <c r="C2" i="2"/>
  <c r="H33" i="2"/>
  <c r="H64" i="2" s="1"/>
  <c r="G33" i="2"/>
  <c r="G64" i="2" s="1"/>
  <c r="D2" i="2"/>
  <c r="F100" i="1"/>
  <c r="D100" i="1"/>
  <c r="E100" i="1"/>
  <c r="G56" i="1"/>
  <c r="G86" i="1" s="1"/>
  <c r="E69" i="1"/>
  <c r="C100" i="1"/>
  <c r="E33" i="2"/>
  <c r="C79" i="1"/>
  <c r="G69" i="1"/>
  <c r="D91" i="1"/>
  <c r="F69" i="1"/>
  <c r="G79" i="1"/>
  <c r="D69" i="1"/>
  <c r="F79" i="1"/>
  <c r="E79" i="1"/>
  <c r="D56" i="1"/>
  <c r="D86" i="1" s="1"/>
  <c r="G2" i="2"/>
  <c r="F56" i="1"/>
  <c r="F86" i="1" s="1"/>
  <c r="D79" i="1"/>
  <c r="H2" i="2"/>
  <c r="E64" i="2"/>
  <c r="F33" i="2"/>
  <c r="F64" i="2" s="1"/>
  <c r="F2" i="2"/>
  <c r="E2" i="2"/>
  <c r="B56" i="1"/>
  <c r="B86" i="1" s="1"/>
  <c r="C56" i="1"/>
  <c r="C86" i="1" s="1"/>
  <c r="B69" i="1"/>
  <c r="C26" i="1"/>
  <c r="C98" i="1" s="1"/>
  <c r="B91" i="1"/>
  <c r="D33" i="2"/>
  <c r="D64" i="2" s="1"/>
  <c r="B26" i="1"/>
  <c r="B28" i="1" s="1"/>
  <c r="C33" i="2"/>
  <c r="C64" i="2" s="1"/>
  <c r="D23" i="1" l="1"/>
  <c r="D26" i="1" s="1"/>
  <c r="D28" i="1" s="1"/>
  <c r="C69" i="8"/>
  <c r="D69" i="8"/>
  <c r="G65" i="8"/>
  <c r="D65" i="8"/>
  <c r="C65" i="8"/>
  <c r="H65" i="8"/>
  <c r="F65" i="8"/>
  <c r="E65" i="8"/>
  <c r="F98" i="1"/>
  <c r="F83" i="1"/>
  <c r="C92" i="1"/>
  <c r="C96" i="1" s="1"/>
  <c r="E92" i="1"/>
  <c r="E96" i="1" s="1"/>
  <c r="F92" i="1"/>
  <c r="G83" i="1"/>
  <c r="G88" i="1" s="1"/>
  <c r="G46" i="1"/>
  <c r="E28" i="1"/>
  <c r="E98" i="1"/>
  <c r="D92" i="1"/>
  <c r="D101" i="1" s="1"/>
  <c r="C28" i="1"/>
  <c r="B98" i="1"/>
  <c r="B92" i="1"/>
  <c r="B101" i="1" s="1"/>
  <c r="D98" i="1" l="1"/>
  <c r="B102" i="1"/>
  <c r="C95" i="1"/>
  <c r="D102" i="1"/>
  <c r="F88" i="1"/>
  <c r="F93" i="1"/>
  <c r="F94" i="1"/>
  <c r="C101" i="1"/>
  <c r="C102" i="1" s="1"/>
  <c r="E95" i="1"/>
  <c r="F96" i="1"/>
  <c r="F95" i="1"/>
  <c r="F101" i="1"/>
  <c r="F102" i="1" s="1"/>
  <c r="E101" i="1"/>
  <c r="E102" i="1" s="1"/>
  <c r="E46" i="1"/>
  <c r="E83" i="1"/>
  <c r="D83" i="1"/>
  <c r="D46" i="1"/>
  <c r="D96" i="1"/>
  <c r="D95" i="1"/>
  <c r="B46" i="1"/>
  <c r="B83" i="1"/>
  <c r="C46" i="1"/>
  <c r="C83" i="1"/>
  <c r="B96" i="1"/>
  <c r="B95" i="1"/>
  <c r="D94" i="1" l="1"/>
  <c r="D88" i="1"/>
  <c r="D93" i="1"/>
  <c r="C88" i="1"/>
  <c r="C94" i="1"/>
  <c r="C93" i="1"/>
  <c r="E93" i="1"/>
  <c r="E94" i="1"/>
  <c r="E88" i="1"/>
  <c r="B94" i="1"/>
  <c r="B88" i="1"/>
  <c r="B93" i="1"/>
</calcChain>
</file>

<file path=xl/sharedStrings.xml><?xml version="1.0" encoding="utf-8"?>
<sst xmlns="http://schemas.openxmlformats.org/spreadsheetml/2006/main" count="386" uniqueCount="265">
  <si>
    <t>2024.12.31</t>
    <phoneticPr fontId="3" type="noConversion"/>
  </si>
  <si>
    <t>2023.12.31</t>
    <phoneticPr fontId="3" type="noConversion"/>
  </si>
  <si>
    <t>2022.12.31</t>
    <phoneticPr fontId="3" type="noConversion"/>
  </si>
  <si>
    <t>2021.12.31</t>
    <phoneticPr fontId="3" type="noConversion"/>
  </si>
  <si>
    <t>2020.12.31</t>
    <phoneticPr fontId="3" type="noConversion"/>
  </si>
  <si>
    <t>2019.12.31</t>
    <phoneticPr fontId="3" type="noConversion"/>
  </si>
  <si>
    <t>资产</t>
    <phoneticPr fontId="3" type="noConversion"/>
  </si>
  <si>
    <t>金融资产</t>
    <phoneticPr fontId="3" type="noConversion"/>
  </si>
  <si>
    <t>货币资金</t>
    <phoneticPr fontId="3" type="noConversion"/>
  </si>
  <si>
    <t>交易性金融资产</t>
    <phoneticPr fontId="3" type="noConversion"/>
  </si>
  <si>
    <t>理财产品</t>
    <phoneticPr fontId="3" type="noConversion"/>
  </si>
  <si>
    <t>定期存款/利息</t>
    <phoneticPr fontId="3" type="noConversion"/>
  </si>
  <si>
    <t>其他非流动金融资产</t>
    <phoneticPr fontId="3" type="noConversion"/>
  </si>
  <si>
    <t>长期股权投资</t>
    <phoneticPr fontId="3" type="noConversion"/>
  </si>
  <si>
    <t>其他权益工具投资</t>
    <phoneticPr fontId="3" type="noConversion"/>
  </si>
  <si>
    <t>其他非流动金融资产（权益工具） </t>
    <phoneticPr fontId="3" type="noConversion"/>
  </si>
  <si>
    <t>经营资产</t>
    <phoneticPr fontId="3" type="noConversion"/>
  </si>
  <si>
    <t>应收票据</t>
    <phoneticPr fontId="3" type="noConversion"/>
  </si>
  <si>
    <t>应收帐款</t>
    <phoneticPr fontId="3" type="noConversion"/>
  </si>
  <si>
    <t>预付款项</t>
    <phoneticPr fontId="3" type="noConversion"/>
  </si>
  <si>
    <t>其他应收款</t>
    <phoneticPr fontId="3" type="noConversion"/>
  </si>
  <si>
    <t>存货</t>
    <phoneticPr fontId="3" type="noConversion"/>
  </si>
  <si>
    <t>合同资产</t>
    <phoneticPr fontId="3" type="noConversion"/>
  </si>
  <si>
    <t>其他流动资产</t>
    <phoneticPr fontId="3" type="noConversion"/>
  </si>
  <si>
    <t>其他非流动资产</t>
    <phoneticPr fontId="3" type="noConversion"/>
  </si>
  <si>
    <t>递延所得税资产</t>
    <phoneticPr fontId="3" type="noConversion"/>
  </si>
  <si>
    <t>长期资产</t>
    <phoneticPr fontId="3" type="noConversion"/>
  </si>
  <si>
    <t>固定资产</t>
    <phoneticPr fontId="3" type="noConversion"/>
  </si>
  <si>
    <t>在建工程</t>
    <phoneticPr fontId="3" type="noConversion"/>
  </si>
  <si>
    <t>使用权资产</t>
    <phoneticPr fontId="3" type="noConversion"/>
  </si>
  <si>
    <t>无形资产</t>
    <phoneticPr fontId="3" type="noConversion"/>
  </si>
  <si>
    <t>商誉</t>
    <phoneticPr fontId="3" type="noConversion"/>
  </si>
  <si>
    <t>长期待摊费用</t>
    <phoneticPr fontId="3" type="noConversion"/>
  </si>
  <si>
    <t>负债</t>
    <phoneticPr fontId="3" type="noConversion"/>
  </si>
  <si>
    <t>经营负债</t>
    <phoneticPr fontId="7" type="noConversion"/>
  </si>
  <si>
    <t>应付账款</t>
    <phoneticPr fontId="3" type="noConversion"/>
  </si>
  <si>
    <t>预收款项</t>
    <phoneticPr fontId="3" type="noConversion"/>
  </si>
  <si>
    <t>合同负债</t>
    <phoneticPr fontId="3" type="noConversion"/>
  </si>
  <si>
    <t xml:space="preserve">应付职工薪酬 </t>
    <phoneticPr fontId="3" type="noConversion"/>
  </si>
  <si>
    <t xml:space="preserve">应交税费 </t>
    <phoneticPr fontId="3" type="noConversion"/>
  </si>
  <si>
    <t xml:space="preserve">其他应付款 </t>
    <phoneticPr fontId="3" type="noConversion"/>
  </si>
  <si>
    <t>其他流动负债</t>
    <phoneticPr fontId="3" type="noConversion"/>
  </si>
  <si>
    <t>长期应付款</t>
    <phoneticPr fontId="3" type="noConversion"/>
  </si>
  <si>
    <t>预计负债</t>
    <phoneticPr fontId="3" type="noConversion"/>
  </si>
  <si>
    <t xml:space="preserve">递延收益 </t>
    <phoneticPr fontId="3" type="noConversion"/>
  </si>
  <si>
    <t xml:space="preserve">其他非流动负债 </t>
    <phoneticPr fontId="3" type="noConversion"/>
  </si>
  <si>
    <t xml:space="preserve">递延所得税负债 </t>
    <phoneticPr fontId="3" type="noConversion"/>
  </si>
  <si>
    <t>短期负债</t>
    <phoneticPr fontId="7" type="noConversion"/>
  </si>
  <si>
    <t xml:space="preserve">一年内到期的非流动负债 </t>
    <phoneticPr fontId="3" type="noConversion"/>
  </si>
  <si>
    <t>长期负债</t>
    <phoneticPr fontId="7" type="noConversion"/>
  </si>
  <si>
    <t xml:space="preserve">租赁负债 </t>
    <phoneticPr fontId="3" type="noConversion"/>
  </si>
  <si>
    <t>所有者权益</t>
    <phoneticPr fontId="7" type="noConversion"/>
  </si>
  <si>
    <t>股本</t>
    <phoneticPr fontId="3" type="noConversion"/>
  </si>
  <si>
    <t>资本公积</t>
    <phoneticPr fontId="3" type="noConversion"/>
  </si>
  <si>
    <t>库存股</t>
    <phoneticPr fontId="3" type="noConversion"/>
  </si>
  <si>
    <t xml:space="preserve">其他综合收益 </t>
    <phoneticPr fontId="3" type="noConversion"/>
  </si>
  <si>
    <t xml:space="preserve">盈余公积 </t>
    <phoneticPr fontId="3" type="noConversion"/>
  </si>
  <si>
    <t xml:space="preserve">未分配利润 </t>
    <phoneticPr fontId="3" type="noConversion"/>
  </si>
  <si>
    <t xml:space="preserve">少数股东权益 </t>
    <phoneticPr fontId="3" type="noConversion"/>
  </si>
  <si>
    <t>营收</t>
    <phoneticPr fontId="3" type="noConversion"/>
  </si>
  <si>
    <t>营业成本</t>
    <phoneticPr fontId="3" type="noConversion"/>
  </si>
  <si>
    <t>毛利率</t>
    <phoneticPr fontId="3" type="noConversion"/>
  </si>
  <si>
    <t>税金及附加</t>
    <phoneticPr fontId="3" type="noConversion"/>
  </si>
  <si>
    <t>销售费用</t>
    <phoneticPr fontId="3" type="noConversion"/>
  </si>
  <si>
    <t>管理费用</t>
    <phoneticPr fontId="3" type="noConversion"/>
  </si>
  <si>
    <t>研发费用</t>
    <phoneticPr fontId="3" type="noConversion"/>
  </si>
  <si>
    <t>信用减值</t>
    <phoneticPr fontId="3" type="noConversion"/>
  </si>
  <si>
    <t>资产减值</t>
    <phoneticPr fontId="3" type="noConversion"/>
  </si>
  <si>
    <t>资产处置</t>
    <phoneticPr fontId="3" type="noConversion"/>
  </si>
  <si>
    <t>其他收益</t>
    <phoneticPr fontId="3" type="noConversion"/>
  </si>
  <si>
    <t>营业外收入</t>
    <phoneticPr fontId="3" type="noConversion"/>
  </si>
  <si>
    <t>营业外支出</t>
    <phoneticPr fontId="3" type="noConversion"/>
  </si>
  <si>
    <t>息税前经营收益</t>
    <phoneticPr fontId="3" type="noConversion"/>
  </si>
  <si>
    <t>短期投资收益</t>
    <phoneticPr fontId="3" type="noConversion"/>
  </si>
  <si>
    <t>利息收入</t>
    <phoneticPr fontId="3" type="noConversion"/>
  </si>
  <si>
    <t>公允价值变动收益</t>
    <phoneticPr fontId="3" type="noConversion"/>
  </si>
  <si>
    <t>息税前金融资产收益</t>
    <phoneticPr fontId="3" type="noConversion"/>
  </si>
  <si>
    <t>长期股权收益</t>
    <phoneticPr fontId="3" type="noConversion"/>
  </si>
  <si>
    <t>（权益工具）公允价值变动收益</t>
    <phoneticPr fontId="3" type="noConversion"/>
  </si>
  <si>
    <t>长期投资收益</t>
    <phoneticPr fontId="3" type="noConversion"/>
  </si>
  <si>
    <t>息税前利润总额</t>
    <phoneticPr fontId="3" type="noConversion"/>
  </si>
  <si>
    <t>财务费用</t>
    <phoneticPr fontId="3" type="noConversion"/>
  </si>
  <si>
    <t xml:space="preserve"> </t>
    <phoneticPr fontId="3" type="noConversion"/>
  </si>
  <si>
    <t>税前利润总额</t>
    <phoneticPr fontId="3" type="noConversion"/>
  </si>
  <si>
    <t>所得税</t>
    <phoneticPr fontId="3" type="noConversion"/>
  </si>
  <si>
    <t>净利润</t>
    <phoneticPr fontId="3" type="noConversion"/>
  </si>
  <si>
    <t>资产减值准备</t>
    <phoneticPr fontId="7" type="noConversion"/>
  </si>
  <si>
    <t>信用减值损失</t>
    <phoneticPr fontId="7" type="noConversion"/>
  </si>
  <si>
    <t>资产折旧</t>
    <phoneticPr fontId="7" type="noConversion"/>
  </si>
  <si>
    <t>使用权资产折旧</t>
    <phoneticPr fontId="7" type="noConversion"/>
  </si>
  <si>
    <t>无形资产摊销</t>
    <phoneticPr fontId="7" type="noConversion"/>
  </si>
  <si>
    <t>长期待摊</t>
    <phoneticPr fontId="7" type="noConversion"/>
  </si>
  <si>
    <t>固定资产损失</t>
    <phoneticPr fontId="7" type="noConversion"/>
  </si>
  <si>
    <t>固定资产报废</t>
    <phoneticPr fontId="7" type="noConversion"/>
  </si>
  <si>
    <t>公允价值变动损失</t>
    <phoneticPr fontId="7" type="noConversion"/>
  </si>
  <si>
    <t>财务费用</t>
    <phoneticPr fontId="7" type="noConversion"/>
  </si>
  <si>
    <t>投资损失</t>
    <phoneticPr fontId="7" type="noConversion"/>
  </si>
  <si>
    <t>递延所得税资产减少</t>
    <phoneticPr fontId="7" type="noConversion"/>
  </si>
  <si>
    <t>递延所得税负债增加</t>
    <phoneticPr fontId="7" type="noConversion"/>
  </si>
  <si>
    <t>存货的减少</t>
    <phoneticPr fontId="7" type="noConversion"/>
  </si>
  <si>
    <t>经营性应收的减少</t>
    <phoneticPr fontId="7" type="noConversion"/>
  </si>
  <si>
    <t>经营性应付的增加</t>
    <phoneticPr fontId="7" type="noConversion"/>
  </si>
  <si>
    <t>其他</t>
    <phoneticPr fontId="7" type="noConversion"/>
  </si>
  <si>
    <t>经营活动产生现金流净额</t>
    <phoneticPr fontId="7" type="noConversion"/>
  </si>
  <si>
    <t>销售商品、提供劳务收到的现金</t>
    <phoneticPr fontId="7" type="noConversion"/>
  </si>
  <si>
    <t>收到的税费返还</t>
    <phoneticPr fontId="7" type="noConversion"/>
  </si>
  <si>
    <t>收到其他与经营活动有关的现金</t>
    <phoneticPr fontId="7" type="noConversion"/>
  </si>
  <si>
    <t>经营活动现金流入小计</t>
    <phoneticPr fontId="7" type="noConversion"/>
  </si>
  <si>
    <t>购买商品、接受劳务支付的现金</t>
    <phoneticPr fontId="7" type="noConversion"/>
  </si>
  <si>
    <t>支付给职工以及为职工支付的现金</t>
    <phoneticPr fontId="7" type="noConversion"/>
  </si>
  <si>
    <t>支付的各项税费</t>
    <phoneticPr fontId="7" type="noConversion"/>
  </si>
  <si>
    <t>支付其他与经营活动有关的现金</t>
    <phoneticPr fontId="7" type="noConversion"/>
  </si>
  <si>
    <t>经营活动现金流出小计</t>
    <phoneticPr fontId="7" type="noConversion"/>
  </si>
  <si>
    <t>收回投资收到的现金</t>
    <phoneticPr fontId="7" type="noConversion"/>
  </si>
  <si>
    <t>取得投资收益收到的现金</t>
    <phoneticPr fontId="7" type="noConversion"/>
  </si>
  <si>
    <t>处置固定资产、无形资产和其他长期资产收回的现金净额</t>
    <phoneticPr fontId="7" type="noConversion"/>
  </si>
  <si>
    <t>处置子公司及其他营业单位收到的现金净额</t>
    <phoneticPr fontId="7" type="noConversion"/>
  </si>
  <si>
    <t>收到其他与投资有关的现金</t>
    <phoneticPr fontId="3" type="noConversion"/>
  </si>
  <si>
    <t>投资活动现金流入小计</t>
    <phoneticPr fontId="7" type="noConversion"/>
  </si>
  <si>
    <t>购建固定资产、无形资产和其他长期资产支付的现金</t>
    <phoneticPr fontId="7" type="noConversion"/>
  </si>
  <si>
    <t>投资支付的现金</t>
    <phoneticPr fontId="7" type="noConversion"/>
  </si>
  <si>
    <t>支付其他与投资活动有关的现金</t>
    <phoneticPr fontId="7" type="noConversion"/>
  </si>
  <si>
    <t>取得子公司现金</t>
    <phoneticPr fontId="3" type="noConversion"/>
  </si>
  <si>
    <t>投资活动现金流出小计</t>
    <phoneticPr fontId="7" type="noConversion"/>
  </si>
  <si>
    <t>投资活动产生的现金流量净额</t>
    <phoneticPr fontId="7" type="noConversion"/>
  </si>
  <si>
    <t>吸收投资收到的现金</t>
    <phoneticPr fontId="7" type="noConversion"/>
  </si>
  <si>
    <t>取得借款收到的现金</t>
    <phoneticPr fontId="7" type="noConversion"/>
  </si>
  <si>
    <t xml:space="preserve">收到其他与筹资活动有关的现金 </t>
    <phoneticPr fontId="3" type="noConversion"/>
  </si>
  <si>
    <t>筹资活动现金流入小计</t>
    <phoneticPr fontId="7" type="noConversion"/>
  </si>
  <si>
    <t>偿还债务支付的现金</t>
    <phoneticPr fontId="7" type="noConversion"/>
  </si>
  <si>
    <t>分配股利、利润或偿付利息支付的现金</t>
    <phoneticPr fontId="7" type="noConversion"/>
  </si>
  <si>
    <t>支付其他与筹资活动有关的现金</t>
    <phoneticPr fontId="7" type="noConversion"/>
  </si>
  <si>
    <t>筹资活动现金流出小计</t>
    <phoneticPr fontId="7" type="noConversion"/>
  </si>
  <si>
    <t>筹资活动产生的现金流量净额</t>
    <phoneticPr fontId="7" type="noConversion"/>
  </si>
  <si>
    <t>Net Profit</t>
    <phoneticPr fontId="3" type="noConversion"/>
  </si>
  <si>
    <t>Gross Profit</t>
    <phoneticPr fontId="3" type="noConversion"/>
  </si>
  <si>
    <t>Revenue</t>
    <phoneticPr fontId="3" type="noConversion"/>
  </si>
  <si>
    <t>FCF</t>
    <phoneticPr fontId="3" type="noConversion"/>
  </si>
  <si>
    <t>TotalShare</t>
    <phoneticPr fontId="3" type="noConversion"/>
  </si>
  <si>
    <t>EPS</t>
    <phoneticPr fontId="3" type="noConversion"/>
  </si>
  <si>
    <t>股东权益（平均）</t>
    <phoneticPr fontId="3" type="noConversion"/>
  </si>
  <si>
    <t>总资产（平均）</t>
    <phoneticPr fontId="3" type="noConversion"/>
  </si>
  <si>
    <t>ROE</t>
    <phoneticPr fontId="3" type="noConversion"/>
  </si>
  <si>
    <t>净利率</t>
    <phoneticPr fontId="3" type="noConversion"/>
  </si>
  <si>
    <t>总资产周转率</t>
    <phoneticPr fontId="3" type="noConversion"/>
  </si>
  <si>
    <t>权益乘数</t>
    <phoneticPr fontId="3" type="noConversion"/>
  </si>
  <si>
    <t>税率</t>
    <phoneticPr fontId="3" type="noConversion"/>
  </si>
  <si>
    <t>业务利润（净）</t>
    <phoneticPr fontId="3" type="noConversion"/>
  </si>
  <si>
    <t>有息债务（平均）</t>
    <phoneticPr fontId="3" type="noConversion"/>
  </si>
  <si>
    <t>资本投入</t>
    <phoneticPr fontId="3" type="noConversion"/>
  </si>
  <si>
    <t>ROIC</t>
    <phoneticPr fontId="3" type="noConversion"/>
  </si>
  <si>
    <t xml:space="preserve">一年内到期的非流动资产 </t>
    <phoneticPr fontId="3" type="noConversion"/>
  </si>
  <si>
    <t>应收利息</t>
    <phoneticPr fontId="3" type="noConversion"/>
  </si>
  <si>
    <t>其他非流动金融资产 </t>
    <phoneticPr fontId="3" type="noConversion"/>
  </si>
  <si>
    <t>账面余额</t>
    <phoneticPr fontId="7" type="noConversion"/>
  </si>
  <si>
    <t>2024.12.31</t>
    <phoneticPr fontId="7" type="noConversion"/>
  </si>
  <si>
    <t>2023.12.31</t>
    <phoneticPr fontId="7" type="noConversion"/>
  </si>
  <si>
    <t>2022.12.31</t>
    <phoneticPr fontId="7" type="noConversion"/>
  </si>
  <si>
    <t>2021.12.31</t>
    <phoneticPr fontId="7" type="noConversion"/>
  </si>
  <si>
    <t>2020.12.31</t>
    <phoneticPr fontId="7" type="noConversion"/>
  </si>
  <si>
    <t>2019.12.31</t>
    <phoneticPr fontId="7" type="noConversion"/>
  </si>
  <si>
    <t>应收</t>
    <phoneticPr fontId="7" type="noConversion"/>
  </si>
  <si>
    <t>应收票据</t>
    <phoneticPr fontId="7" type="noConversion"/>
  </si>
  <si>
    <t>应收账款</t>
    <phoneticPr fontId="7" type="noConversion"/>
  </si>
  <si>
    <t>其他应收款</t>
    <phoneticPr fontId="7" type="noConversion"/>
  </si>
  <si>
    <t>合同资产</t>
    <phoneticPr fontId="7" type="noConversion"/>
  </si>
  <si>
    <t>应收减少</t>
    <phoneticPr fontId="7" type="noConversion"/>
  </si>
  <si>
    <t>应付</t>
    <phoneticPr fontId="7" type="noConversion"/>
  </si>
  <si>
    <t>应付票据</t>
    <phoneticPr fontId="7" type="noConversion"/>
  </si>
  <si>
    <t>应付账款</t>
    <phoneticPr fontId="7" type="noConversion"/>
  </si>
  <si>
    <t>其他应付款</t>
    <phoneticPr fontId="7" type="noConversion"/>
  </si>
  <si>
    <t>合同负债</t>
    <phoneticPr fontId="7" type="noConversion"/>
  </si>
  <si>
    <t>应付职工薪酬</t>
    <phoneticPr fontId="7" type="noConversion"/>
  </si>
  <si>
    <t>应交税费</t>
    <phoneticPr fontId="7" type="noConversion"/>
  </si>
  <si>
    <t>其他流动负债</t>
    <phoneticPr fontId="7" type="noConversion"/>
  </si>
  <si>
    <t>其他非流动负债</t>
    <phoneticPr fontId="7" type="noConversion"/>
  </si>
  <si>
    <t>递延收益</t>
    <phoneticPr fontId="7" type="noConversion"/>
  </si>
  <si>
    <t>应付增加</t>
    <phoneticPr fontId="7" type="noConversion"/>
  </si>
  <si>
    <t>存货</t>
    <phoneticPr fontId="7" type="noConversion"/>
  </si>
  <si>
    <t>存货减少</t>
    <phoneticPr fontId="7" type="noConversion"/>
  </si>
  <si>
    <t>收入</t>
    <phoneticPr fontId="3" type="noConversion"/>
  </si>
  <si>
    <t xml:space="preserve">WPS个人业务 </t>
    <phoneticPr fontId="3" type="noConversion"/>
  </si>
  <si>
    <t xml:space="preserve">WPS 365业务 </t>
    <phoneticPr fontId="3" type="noConversion"/>
  </si>
  <si>
    <t xml:space="preserve">WPS 软件业务 </t>
    <phoneticPr fontId="3" type="noConversion"/>
  </si>
  <si>
    <t xml:space="preserve">其他 </t>
    <phoneticPr fontId="3" type="noConversion"/>
  </si>
  <si>
    <t xml:space="preserve">国内个人办公服务订阅业务 </t>
    <phoneticPr fontId="3" type="noConversion"/>
  </si>
  <si>
    <t xml:space="preserve">国内机构订阅及服务业务 </t>
    <phoneticPr fontId="3" type="noConversion"/>
  </si>
  <si>
    <t>国内机构授权业务</t>
    <phoneticPr fontId="3" type="noConversion"/>
  </si>
  <si>
    <t>互联网广告推广服务及其他业务</t>
    <phoneticPr fontId="3" type="noConversion"/>
  </si>
  <si>
    <t>成本</t>
    <phoneticPr fontId="3" type="noConversion"/>
  </si>
  <si>
    <t>主营业务收入</t>
    <phoneticPr fontId="7" type="noConversion"/>
  </si>
  <si>
    <t>主营业务成本</t>
    <phoneticPr fontId="7" type="noConversion"/>
  </si>
  <si>
    <t>主营业务毛利</t>
    <phoneticPr fontId="7" type="noConversion"/>
  </si>
  <si>
    <t>毛利率</t>
    <phoneticPr fontId="7" type="noConversion"/>
  </si>
  <si>
    <t>其他业务收入</t>
    <phoneticPr fontId="7" type="noConversion"/>
  </si>
  <si>
    <t>其他业务成本</t>
    <phoneticPr fontId="7" type="noConversion"/>
  </si>
  <si>
    <t>其他业务毛利</t>
    <phoneticPr fontId="7" type="noConversion"/>
  </si>
  <si>
    <t>其他业务</t>
    <phoneticPr fontId="3" type="noConversion"/>
  </si>
  <si>
    <t>有息债务</t>
    <phoneticPr fontId="3" type="noConversion"/>
  </si>
  <si>
    <t>FPS</t>
    <phoneticPr fontId="3" type="noConversion"/>
  </si>
  <si>
    <t>市值</t>
    <phoneticPr fontId="3" type="noConversion"/>
  </si>
  <si>
    <t>费率</t>
    <phoneticPr fontId="3" type="noConversion"/>
  </si>
  <si>
    <t>现金资产</t>
    <phoneticPr fontId="3" type="noConversion"/>
  </si>
  <si>
    <t>股权资产</t>
    <phoneticPr fontId="3" type="noConversion"/>
  </si>
  <si>
    <t>应付</t>
    <phoneticPr fontId="3" type="noConversion"/>
  </si>
  <si>
    <t>经营负债</t>
    <phoneticPr fontId="3" type="noConversion"/>
  </si>
  <si>
    <t>利润留存</t>
    <phoneticPr fontId="3" type="noConversion"/>
  </si>
  <si>
    <t>定价</t>
    <phoneticPr fontId="3" type="noConversion"/>
  </si>
  <si>
    <t>权益</t>
    <phoneticPr fontId="3" type="noConversion"/>
  </si>
  <si>
    <t>投资</t>
    <phoneticPr fontId="3" type="noConversion"/>
  </si>
  <si>
    <t>应收</t>
    <phoneticPr fontId="3" type="noConversion"/>
  </si>
  <si>
    <t>现金</t>
    <phoneticPr fontId="3" type="noConversion"/>
  </si>
  <si>
    <t>有息负债</t>
    <phoneticPr fontId="3" type="noConversion"/>
  </si>
  <si>
    <t>未分配利润</t>
    <phoneticPr fontId="3" type="noConversion"/>
  </si>
  <si>
    <t>运营资产</t>
    <phoneticPr fontId="3" type="noConversion"/>
  </si>
  <si>
    <t>现金结构</t>
    <phoneticPr fontId="3" type="noConversion"/>
  </si>
  <si>
    <t>股东、负债</t>
    <phoneticPr fontId="3" type="noConversion"/>
  </si>
  <si>
    <t>费用</t>
    <phoneticPr fontId="3" type="noConversion"/>
  </si>
  <si>
    <t>损耗</t>
    <phoneticPr fontId="3" type="noConversion"/>
  </si>
  <si>
    <t>营业外</t>
    <phoneticPr fontId="3" type="noConversion"/>
  </si>
  <si>
    <t>营业外利润</t>
    <phoneticPr fontId="3" type="noConversion"/>
  </si>
  <si>
    <t>业务利润</t>
    <phoneticPr fontId="3" type="noConversion"/>
  </si>
  <si>
    <t>营收YoY</t>
    <phoneticPr fontId="3" type="noConversion"/>
  </si>
  <si>
    <t>资产YoY</t>
    <phoneticPr fontId="3" type="noConversion"/>
  </si>
  <si>
    <t>权益YoY</t>
    <phoneticPr fontId="3" type="noConversion"/>
  </si>
  <si>
    <t>负债YoY</t>
    <phoneticPr fontId="3" type="noConversion"/>
  </si>
  <si>
    <t>存货周转</t>
    <phoneticPr fontId="3" type="noConversion"/>
  </si>
  <si>
    <t>应收占比</t>
    <phoneticPr fontId="3" type="noConversion"/>
  </si>
  <si>
    <t>Net Proit</t>
    <phoneticPr fontId="3" type="noConversion"/>
  </si>
  <si>
    <t>资产/资本</t>
    <phoneticPr fontId="3" type="noConversion"/>
  </si>
  <si>
    <t>价格（H）</t>
    <phoneticPr fontId="3" type="noConversion"/>
  </si>
  <si>
    <t>价格（L）</t>
    <phoneticPr fontId="3" type="noConversion"/>
  </si>
  <si>
    <t>PE</t>
    <phoneticPr fontId="3" type="noConversion"/>
  </si>
  <si>
    <t>折旧摊销</t>
    <phoneticPr fontId="3" type="noConversion"/>
  </si>
  <si>
    <t>资本开支</t>
    <phoneticPr fontId="3" type="noConversion"/>
  </si>
  <si>
    <t>分红</t>
    <phoneticPr fontId="3" type="noConversion"/>
  </si>
  <si>
    <t>业务净利润YoY</t>
    <phoneticPr fontId="3" type="noConversion"/>
  </si>
  <si>
    <t>预付</t>
    <phoneticPr fontId="3" type="noConversion"/>
  </si>
  <si>
    <t>预收</t>
    <phoneticPr fontId="3" type="noConversion"/>
  </si>
  <si>
    <t>股息分红</t>
    <phoneticPr fontId="3" type="noConversion"/>
  </si>
  <si>
    <t>主营收入</t>
    <phoneticPr fontId="3" type="noConversion"/>
  </si>
  <si>
    <t>主营成本</t>
    <phoneticPr fontId="3" type="noConversion"/>
  </si>
  <si>
    <t>现金收益</t>
    <phoneticPr fontId="3" type="noConversion"/>
  </si>
  <si>
    <t>股权收益</t>
    <phoneticPr fontId="3" type="noConversion"/>
  </si>
  <si>
    <t>利息支出</t>
    <phoneticPr fontId="3" type="noConversion"/>
  </si>
  <si>
    <t>盈利结构</t>
    <phoneticPr fontId="3" type="noConversion"/>
  </si>
  <si>
    <t>其他业务利润</t>
    <phoneticPr fontId="3" type="noConversion"/>
  </si>
  <si>
    <t>CAPEX</t>
    <phoneticPr fontId="3" type="noConversion"/>
  </si>
  <si>
    <t>现金留存</t>
    <phoneticPr fontId="3" type="noConversion"/>
  </si>
  <si>
    <t>业务现金</t>
    <phoneticPr fontId="3" type="noConversion"/>
  </si>
  <si>
    <t>经营周转</t>
    <phoneticPr fontId="3" type="noConversion"/>
  </si>
  <si>
    <t>研发费率</t>
    <phoneticPr fontId="3" type="noConversion"/>
  </si>
  <si>
    <t>销售费率</t>
    <phoneticPr fontId="3" type="noConversion"/>
  </si>
  <si>
    <t>管理费率</t>
    <phoneticPr fontId="3" type="noConversion"/>
  </si>
  <si>
    <t>应收周转</t>
    <phoneticPr fontId="3" type="noConversion"/>
  </si>
  <si>
    <t>应付（预付）占比</t>
    <phoneticPr fontId="3" type="noConversion"/>
  </si>
  <si>
    <t>预收占比</t>
    <phoneticPr fontId="3" type="noConversion"/>
  </si>
  <si>
    <t>利息支出/业务利润</t>
    <phoneticPr fontId="3" type="noConversion"/>
  </si>
  <si>
    <t>折旧摊销/长期资产</t>
    <phoneticPr fontId="3" type="noConversion"/>
  </si>
  <si>
    <t>资产结构</t>
    <phoneticPr fontId="3" type="noConversion"/>
  </si>
  <si>
    <t>负债结构</t>
    <phoneticPr fontId="3" type="noConversion"/>
  </si>
  <si>
    <t>权益结构</t>
    <phoneticPr fontId="3" type="noConversion"/>
  </si>
  <si>
    <t>主营收入/资产</t>
    <phoneticPr fontId="3" type="noConversion"/>
  </si>
  <si>
    <t>股息</t>
    <phoneticPr fontId="3" type="noConversion"/>
  </si>
  <si>
    <t>股息率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</si>
</sst>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(* #,##0.00_);_(* \(#,##0.00\);_(* &quot;-&quot;??_);_(@_)"/>
    <numFmt numFmtId="177" formatCode="#,##0.00_ "/>
    <numFmt numFmtId="178" formatCode="_(* #,##0_);_(* \(#,##0\);_(* &quot;-&quot;??_);_(@_)"/>
    <numFmt numFmtId="179" formatCode="0.0"/>
    <numFmt numFmtId="180" formatCode="0.0%"/>
    <numFmt numFmtId="181" formatCode="_ * #,##0_ ;_ * \-#,##0_ ;_ * &quot;-&quot;??_ ;_ @_ "/>
    <numFmt numFmtId="182" formatCode="_ * #,##0.0_ ;_ * \-#,##0.0_ ;_ * &quot;-&quot;??_ ;_ @_ "/>
  </numFmts>
  <fonts count="22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1"/>
      <color rgb="FF000000"/>
      <name val="Helvetica"/>
      <family val="2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name val="等线"/>
      <family val="2"/>
      <charset val="134"/>
      <scheme val="minor"/>
    </font>
    <font>
      <sz val="12"/>
      <name val="等线"/>
      <family val="4"/>
      <charset val="134"/>
      <scheme val="minor"/>
    </font>
    <font>
      <sz val="12"/>
      <name val="等线"/>
      <family val="3"/>
      <charset val="134"/>
      <scheme val="minor"/>
    </font>
    <font>
      <sz val="11"/>
      <name val="Helvetica"/>
      <family val="2"/>
    </font>
    <font>
      <b/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4" fontId="2" fillId="0" borderId="0" xfId="0" applyNumberFormat="1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4" fontId="4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right" wrapText="1"/>
    </xf>
    <xf numFmtId="0" fontId="0" fillId="0" borderId="0" xfId="0" applyAlignment="1"/>
    <xf numFmtId="0" fontId="8" fillId="0" borderId="0" xfId="0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4" fontId="12" fillId="0" borderId="0" xfId="0" applyNumberFormat="1" applyFont="1">
      <alignment vertical="center"/>
    </xf>
    <xf numFmtId="4" fontId="5" fillId="0" borderId="0" xfId="0" applyNumberFormat="1" applyFont="1">
      <alignment vertical="center"/>
    </xf>
    <xf numFmtId="176" fontId="5" fillId="0" borderId="0" xfId="1" applyFont="1">
      <alignment vertical="center"/>
    </xf>
    <xf numFmtId="176" fontId="0" fillId="0" borderId="0" xfId="1" applyFont="1">
      <alignment vertical="center"/>
    </xf>
    <xf numFmtId="176" fontId="0" fillId="0" borderId="0" xfId="0" applyNumberFormat="1">
      <alignment vertical="center"/>
    </xf>
    <xf numFmtId="176" fontId="4" fillId="0" borderId="0" xfId="1" applyFont="1">
      <alignment vertical="center"/>
    </xf>
    <xf numFmtId="176" fontId="2" fillId="0" borderId="0" xfId="1" applyFont="1">
      <alignment vertical="center"/>
    </xf>
    <xf numFmtId="9" fontId="0" fillId="0" borderId="0" xfId="2" applyFont="1">
      <alignment vertical="center"/>
    </xf>
    <xf numFmtId="2" fontId="0" fillId="0" borderId="0" xfId="0" applyNumberFormat="1">
      <alignment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>
      <alignment vertical="center"/>
    </xf>
    <xf numFmtId="4" fontId="13" fillId="0" borderId="0" xfId="0" applyNumberFormat="1" applyFont="1">
      <alignment vertical="center"/>
    </xf>
    <xf numFmtId="9" fontId="13" fillId="0" borderId="0" xfId="2" applyFont="1">
      <alignment vertical="center"/>
    </xf>
    <xf numFmtId="4" fontId="15" fillId="0" borderId="0" xfId="0" applyNumberFormat="1" applyFont="1">
      <alignment vertical="center"/>
    </xf>
    <xf numFmtId="176" fontId="15" fillId="0" borderId="0" xfId="1" applyFont="1">
      <alignment vertical="center"/>
    </xf>
    <xf numFmtId="4" fontId="16" fillId="0" borderId="0" xfId="0" applyNumberFormat="1" applyFont="1">
      <alignment vertical="center"/>
    </xf>
    <xf numFmtId="4" fontId="17" fillId="0" borderId="0" xfId="0" applyNumberFormat="1" applyFont="1">
      <alignment vertical="center"/>
    </xf>
    <xf numFmtId="176" fontId="16" fillId="0" borderId="0" xfId="1" applyFont="1">
      <alignment vertical="center"/>
    </xf>
    <xf numFmtId="176" fontId="14" fillId="0" borderId="0" xfId="1" applyFont="1">
      <alignment vertical="center"/>
    </xf>
    <xf numFmtId="177" fontId="0" fillId="0" borderId="0" xfId="1" applyNumberFormat="1" applyFont="1">
      <alignment vertical="center"/>
    </xf>
    <xf numFmtId="44" fontId="0" fillId="0" borderId="0" xfId="0" applyNumberFormat="1">
      <alignment vertical="center"/>
    </xf>
    <xf numFmtId="4" fontId="18" fillId="0" borderId="0" xfId="0" applyNumberFormat="1" applyFont="1">
      <alignment vertical="center"/>
    </xf>
    <xf numFmtId="176" fontId="18" fillId="0" borderId="0" xfId="1" applyFont="1">
      <alignment vertical="center"/>
    </xf>
    <xf numFmtId="176" fontId="15" fillId="0" borderId="0" xfId="0" applyNumberFormat="1" applyFont="1">
      <alignment vertical="center"/>
    </xf>
    <xf numFmtId="177" fontId="15" fillId="0" borderId="0" xfId="0" applyNumberFormat="1" applyFont="1">
      <alignment vertic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4" fontId="0" fillId="0" borderId="0" xfId="0" applyNumberFormat="1" applyAlignment="1">
      <alignment vertical="center" wrapText="1"/>
    </xf>
    <xf numFmtId="3" fontId="0" fillId="0" borderId="0" xfId="0" applyNumberFormat="1">
      <alignment vertical="center"/>
    </xf>
    <xf numFmtId="176" fontId="1" fillId="0" borderId="0" xfId="1" applyFont="1">
      <alignment vertical="center"/>
    </xf>
    <xf numFmtId="176" fontId="4" fillId="0" borderId="0" xfId="0" applyNumberFormat="1" applyFont="1">
      <alignment vertical="center"/>
    </xf>
    <xf numFmtId="0" fontId="0" fillId="0" borderId="0" xfId="0" applyAlignment="1">
      <alignment horizontal="right" vertical="center" shrinkToFit="1"/>
    </xf>
    <xf numFmtId="0" fontId="4" fillId="0" borderId="0" xfId="0" applyFont="1" applyAlignment="1">
      <alignment horizontal="right" vertical="center" shrinkToFit="1"/>
    </xf>
    <xf numFmtId="0" fontId="19" fillId="0" borderId="0" xfId="0" applyFont="1" applyAlignment="1">
      <alignment horizontal="right" vertical="center"/>
    </xf>
    <xf numFmtId="17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8" fontId="0" fillId="0" borderId="0" xfId="0" applyNumberFormat="1">
      <alignment vertical="center"/>
    </xf>
    <xf numFmtId="180" fontId="0" fillId="0" borderId="0" xfId="2" applyNumberFormat="1" applyFont="1">
      <alignment vertical="center"/>
    </xf>
    <xf numFmtId="4" fontId="0" fillId="0" borderId="0" xfId="0" applyNumberFormat="1" applyAlignment="1">
      <alignment horizontal="right"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180" fontId="4" fillId="0" borderId="0" xfId="2" applyNumberFormat="1" applyFont="1">
      <alignment vertical="center"/>
    </xf>
    <xf numFmtId="2" fontId="4" fillId="0" borderId="0" xfId="0" applyNumberFormat="1" applyFont="1">
      <alignment vertical="center"/>
    </xf>
    <xf numFmtId="1" fontId="0" fillId="0" borderId="0" xfId="0" applyNumberFormat="1">
      <alignment vertical="center"/>
    </xf>
    <xf numFmtId="178" fontId="21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9" fillId="0" borderId="0" xfId="0" applyFont="1">
      <alignment vertical="center"/>
    </xf>
    <xf numFmtId="0" fontId="19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2" borderId="0" xfId="0" applyFont="1" applyFill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9" fillId="2" borderId="0" xfId="0" applyFont="1" applyFill="1">
      <alignment vertical="center"/>
    </xf>
    <xf numFmtId="0" fontId="21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0" xfId="1" applyNumberFormat="1" applyFont="1">
      <alignment vertical="center"/>
    </xf>
    <xf numFmtId="0" fontId="0" fillId="2" borderId="0" xfId="0" applyFill="1">
      <alignment vertical="center"/>
    </xf>
    <xf numFmtId="181" fontId="0" fillId="2" borderId="0" xfId="0" applyNumberFormat="1" applyFill="1">
      <alignment vertical="center"/>
    </xf>
    <xf numFmtId="181" fontId="0" fillId="2" borderId="0" xfId="1" applyNumberFormat="1" applyFont="1" applyFill="1">
      <alignment vertical="center"/>
    </xf>
    <xf numFmtId="0" fontId="4" fillId="2" borderId="0" xfId="0" applyFont="1" applyFill="1">
      <alignment vertical="center"/>
    </xf>
    <xf numFmtId="180" fontId="0" fillId="0" borderId="0" xfId="0" applyNumberFormat="1">
      <alignment vertical="center"/>
    </xf>
    <xf numFmtId="181" fontId="4" fillId="0" borderId="0" xfId="2" applyNumberFormat="1" applyFont="1">
      <alignment vertical="center"/>
    </xf>
    <xf numFmtId="182" fontId="4" fillId="0" borderId="0" xfId="2" applyNumberFormat="1" applyFont="1">
      <alignment vertical="center"/>
    </xf>
    <xf numFmtId="180" fontId="0" fillId="0" borderId="0" xfId="1" applyNumberFormat="1" applyFont="1">
      <alignment vertical="center"/>
    </xf>
    <xf numFmtId="180" fontId="0" fillId="2" borderId="0" xfId="0" applyNumberFormat="1" applyFill="1">
      <alignment vertical="center"/>
    </xf>
    <xf numFmtId="176" fontId="21" fillId="2" borderId="0" xfId="0" applyNumberFormat="1" applyFont="1" applyFill="1" applyAlignment="1">
      <alignment horizontal="left" vertical="center"/>
    </xf>
    <xf numFmtId="176" fontId="0" fillId="2" borderId="0" xfId="0" applyNumberFormat="1" applyFill="1">
      <alignment vertical="center"/>
    </xf>
    <xf numFmtId="9" fontId="4" fillId="0" borderId="0" xfId="0" applyNumberFormat="1" applyFont="1">
      <alignment vertical="center"/>
    </xf>
    <xf numFmtId="9" fontId="13" fillId="0" borderId="0" xfId="0" applyNumberFormat="1" applyFont="1">
      <alignment vertical="center"/>
    </xf>
    <xf numFmtId="0" fontId="0" fillId="2" borderId="0" xfId="0" applyFill="1" applyAlignment="1">
      <alignment horizontal="left" vertical="center"/>
    </xf>
    <xf numFmtId="2" fontId="21" fillId="2" borderId="0" xfId="0" applyNumberFormat="1" applyFont="1" applyFill="1">
      <alignment vertical="center"/>
    </xf>
    <xf numFmtId="1" fontId="0" fillId="2" borderId="0" xfId="0" applyNumberFormat="1" applyFill="1">
      <alignment vertical="center"/>
    </xf>
    <xf numFmtId="2" fontId="0" fillId="2" borderId="0" xfId="0" applyNumberFormat="1" applyFill="1">
      <alignment vertical="center"/>
    </xf>
    <xf numFmtId="43" fontId="0" fillId="2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61E9-7B69-384B-94FB-485423F313B6}">
  <sheetPr codeName="Sheet1"/>
  <dimension ref="A1:J69"/>
  <sheetViews>
    <sheetView topLeftCell="A37" zoomScale="113" zoomScaleNormal="170" workbookViewId="0">
      <selection activeCell="C49" sqref="C49"/>
    </sheetView>
  </sheetViews>
  <sheetFormatPr defaultColWidth="11" defaultRowHeight="15.75" x14ac:dyDescent="0.25"/>
  <cols>
    <col min="1" max="1" width="14.5" customWidth="1"/>
    <col min="2" max="2" width="22.125" style="57" customWidth="1"/>
    <col min="3" max="3" width="20.5" customWidth="1"/>
    <col min="4" max="5" width="21.375" bestFit="1" customWidth="1"/>
    <col min="6" max="6" width="20.5" bestFit="1" customWidth="1"/>
    <col min="7" max="8" width="20.125" bestFit="1" customWidth="1"/>
    <col min="9" max="9" width="24.125" customWidth="1"/>
    <col min="10" max="10" width="21.625" customWidth="1"/>
  </cols>
  <sheetData>
    <row r="1" spans="1:10" x14ac:dyDescent="0.25">
      <c r="C1" s="3" t="s">
        <v>0</v>
      </c>
      <c r="D1" s="3" t="s">
        <v>1</v>
      </c>
      <c r="E1" s="33" t="s">
        <v>2</v>
      </c>
      <c r="F1" s="33" t="s">
        <v>3</v>
      </c>
      <c r="G1" s="33" t="s">
        <v>4</v>
      </c>
      <c r="H1" s="33" t="s">
        <v>5</v>
      </c>
      <c r="I1" s="33"/>
      <c r="J1" s="33"/>
    </row>
    <row r="2" spans="1:10" x14ac:dyDescent="0.25">
      <c r="A2" t="s">
        <v>6</v>
      </c>
      <c r="C2" s="11">
        <f t="shared" ref="C2:H2" si="0">C3+C10+C15+C26</f>
        <v>15912888756.23</v>
      </c>
      <c r="D2" s="11">
        <f t="shared" si="0"/>
        <v>13974021307.950001</v>
      </c>
      <c r="E2" s="11">
        <f t="shared" si="0"/>
        <v>12057676594.66</v>
      </c>
      <c r="F2" s="11">
        <f t="shared" si="0"/>
        <v>10425669410.85</v>
      </c>
      <c r="G2" s="11">
        <f t="shared" si="0"/>
        <v>8511586171.3400011</v>
      </c>
      <c r="H2" s="11">
        <f t="shared" si="0"/>
        <v>6843993486.5900011</v>
      </c>
    </row>
    <row r="3" spans="1:10" x14ac:dyDescent="0.25">
      <c r="A3" s="8" t="s">
        <v>7</v>
      </c>
      <c r="B3" s="58"/>
      <c r="C3" s="9">
        <f>SUM(C4:C8)</f>
        <v>12812478903.17</v>
      </c>
      <c r="D3" s="9">
        <f t="shared" ref="D3:E3" si="1">SUM(D4:D8)</f>
        <v>11392117752.74</v>
      </c>
      <c r="E3" s="9">
        <f t="shared" si="1"/>
        <v>10293766617.610001</v>
      </c>
      <c r="F3" s="9">
        <f t="shared" ref="F3" si="2">SUM(F4:F8)</f>
        <v>9219308244.5200005</v>
      </c>
      <c r="G3" s="9">
        <f t="shared" ref="G3" si="3">SUM(G4:G8)</f>
        <v>7644210330.1900005</v>
      </c>
      <c r="H3" s="9">
        <f t="shared" ref="H3" si="4">SUM(H4:H8)</f>
        <v>6295517564.5300007</v>
      </c>
    </row>
    <row r="4" spans="1:10" x14ac:dyDescent="0.25">
      <c r="A4" s="1"/>
      <c r="B4" s="57" t="s">
        <v>8</v>
      </c>
      <c r="C4" s="2">
        <v>897936293.08000004</v>
      </c>
      <c r="D4" s="27">
        <v>3478159254.52</v>
      </c>
      <c r="E4" s="2">
        <v>7015446058.6099997</v>
      </c>
      <c r="F4" s="2">
        <v>1253958568.75</v>
      </c>
      <c r="G4" s="2">
        <v>1003504128.73</v>
      </c>
      <c r="H4" s="2">
        <v>749236675.83000004</v>
      </c>
    </row>
    <row r="5" spans="1:10" x14ac:dyDescent="0.25">
      <c r="A5" s="1"/>
      <c r="B5" s="57" t="s">
        <v>9</v>
      </c>
      <c r="C5" s="2">
        <v>1384151830.27</v>
      </c>
      <c r="D5" s="27">
        <v>2570762119.7199998</v>
      </c>
      <c r="H5" s="25">
        <v>15500000</v>
      </c>
    </row>
    <row r="6" spans="1:10" x14ac:dyDescent="0.25">
      <c r="A6" s="1"/>
      <c r="B6" s="57" t="s">
        <v>10</v>
      </c>
      <c r="E6" s="2">
        <v>1192107361.8299999</v>
      </c>
      <c r="F6" s="2">
        <v>6941832294.71</v>
      </c>
      <c r="G6" s="2">
        <v>6625445171.0299997</v>
      </c>
      <c r="H6" s="25">
        <v>5520694608.3900003</v>
      </c>
    </row>
    <row r="7" spans="1:10" x14ac:dyDescent="0.25">
      <c r="A7" s="1"/>
      <c r="B7" s="57" t="s">
        <v>11</v>
      </c>
      <c r="C7" s="2">
        <f>3168225913.95+7343591355.88</f>
        <v>10511817269.83</v>
      </c>
      <c r="D7" s="27">
        <f>1154634585.44+2249205659.64+1918453672.93</f>
        <v>5322293918.0100002</v>
      </c>
      <c r="E7" s="37">
        <f>962979425.76+1123233771.41</f>
        <v>2086213197.1700001</v>
      </c>
      <c r="F7" s="37">
        <f>150575.44+1023366805.62</f>
        <v>1023517381.0600001</v>
      </c>
      <c r="G7" s="55">
        <v>192343.26</v>
      </c>
      <c r="H7">
        <v>280.31</v>
      </c>
    </row>
    <row r="8" spans="1:10" x14ac:dyDescent="0.25">
      <c r="A8" s="1"/>
      <c r="B8" s="57" t="s">
        <v>12</v>
      </c>
      <c r="C8" s="2">
        <v>18573509.989999998</v>
      </c>
      <c r="D8" s="27">
        <v>20902460.489999998</v>
      </c>
      <c r="E8" s="37"/>
      <c r="F8" s="37"/>
      <c r="G8" s="55">
        <v>15068687.17</v>
      </c>
      <c r="H8" s="2">
        <v>10086000</v>
      </c>
    </row>
    <row r="9" spans="1:10" x14ac:dyDescent="0.25">
      <c r="A9" s="1"/>
      <c r="C9" s="2"/>
      <c r="D9" s="27"/>
      <c r="G9" s="27"/>
    </row>
    <row r="10" spans="1:10" x14ac:dyDescent="0.25">
      <c r="A10" s="8" t="s">
        <v>13</v>
      </c>
      <c r="C10" s="9">
        <f t="shared" ref="C10:H10" si="5">SUM(C11:C13)</f>
        <v>1583782588.3699999</v>
      </c>
      <c r="D10" s="9">
        <f t="shared" si="5"/>
        <v>1114893783.9300001</v>
      </c>
      <c r="E10" s="9">
        <f t="shared" si="5"/>
        <v>491331400.65999997</v>
      </c>
      <c r="F10" s="9">
        <f t="shared" si="5"/>
        <v>168417952.90000001</v>
      </c>
      <c r="G10" s="9">
        <f t="shared" si="5"/>
        <v>53083238.060000002</v>
      </c>
      <c r="H10" s="9">
        <f t="shared" si="5"/>
        <v>38612670.560000002</v>
      </c>
    </row>
    <row r="11" spans="1:10" x14ac:dyDescent="0.25">
      <c r="B11" s="57" t="s">
        <v>13</v>
      </c>
      <c r="C11" s="2">
        <v>1563007458.48</v>
      </c>
      <c r="D11" s="27">
        <v>1094062948.51</v>
      </c>
      <c r="E11" s="2">
        <v>444095244.27999997</v>
      </c>
      <c r="F11" s="2">
        <v>123194791.16</v>
      </c>
      <c r="G11" s="47">
        <v>35832544.560000002</v>
      </c>
      <c r="H11" s="47">
        <v>21856849.760000002</v>
      </c>
    </row>
    <row r="12" spans="1:10" x14ac:dyDescent="0.25">
      <c r="A12" s="1"/>
      <c r="B12" s="57" t="s">
        <v>14</v>
      </c>
      <c r="C12" s="2">
        <v>19967434.079999998</v>
      </c>
      <c r="D12" s="27">
        <v>19754307.52</v>
      </c>
      <c r="E12" s="2">
        <v>19615452.34</v>
      </c>
      <c r="F12" s="2">
        <v>8800619.9800000004</v>
      </c>
      <c r="G12" s="47">
        <v>9058955.2100000009</v>
      </c>
      <c r="H12" s="47">
        <v>9642362.2599999998</v>
      </c>
    </row>
    <row r="13" spans="1:10" x14ac:dyDescent="0.25">
      <c r="A13" s="1"/>
      <c r="B13" s="57" t="s">
        <v>15</v>
      </c>
      <c r="C13" s="64">
        <v>807695.81</v>
      </c>
      <c r="D13" s="27">
        <v>1076527.8999999999</v>
      </c>
      <c r="E13" s="2">
        <v>27620704.039999999</v>
      </c>
      <c r="F13" s="2">
        <v>36422541.759999998</v>
      </c>
      <c r="G13" s="47">
        <f>6191738.29+2000000</f>
        <v>8191738.29</v>
      </c>
      <c r="H13" s="47">
        <f>7113458.54</f>
        <v>7113458.54</v>
      </c>
    </row>
    <row r="14" spans="1:10" x14ac:dyDescent="0.25">
      <c r="A14" s="1"/>
      <c r="C14" s="64"/>
      <c r="D14" s="27"/>
      <c r="E14" s="2"/>
      <c r="F14" s="2"/>
      <c r="G14" s="47"/>
      <c r="H14" s="47"/>
    </row>
    <row r="15" spans="1:10" x14ac:dyDescent="0.25">
      <c r="A15" s="8" t="s">
        <v>16</v>
      </c>
      <c r="B15" s="58"/>
      <c r="C15" s="9">
        <f t="shared" ref="C15:H15" si="6">SUM(C16:C24)</f>
        <v>728160925.47000015</v>
      </c>
      <c r="D15" s="29">
        <f t="shared" si="6"/>
        <v>761154339.94000006</v>
      </c>
      <c r="E15" s="29">
        <f>SUM(E16:E24)</f>
        <v>647433732</v>
      </c>
      <c r="F15" s="29">
        <f t="shared" si="6"/>
        <v>535055086.82999992</v>
      </c>
      <c r="G15" s="29">
        <f t="shared" si="6"/>
        <v>496169196.71999997</v>
      </c>
      <c r="H15" s="29">
        <f t="shared" si="6"/>
        <v>414108359.10000002</v>
      </c>
    </row>
    <row r="16" spans="1:10" x14ac:dyDescent="0.25">
      <c r="A16" s="1"/>
      <c r="B16" s="57" t="s">
        <v>17</v>
      </c>
      <c r="C16" s="2">
        <v>5309651.74</v>
      </c>
      <c r="D16" s="27">
        <v>2080000</v>
      </c>
      <c r="E16" s="2">
        <v>3447750</v>
      </c>
      <c r="F16" s="2">
        <v>3667000</v>
      </c>
      <c r="G16" s="28">
        <v>2340900</v>
      </c>
      <c r="H16" s="25">
        <v>2086153.85</v>
      </c>
      <c r="I16" s="1"/>
    </row>
    <row r="17" spans="1:8" x14ac:dyDescent="0.25">
      <c r="A17" s="1"/>
      <c r="B17" s="57" t="s">
        <v>18</v>
      </c>
      <c r="C17" s="2">
        <v>504567059.92000002</v>
      </c>
      <c r="D17" s="27">
        <v>566940348.12</v>
      </c>
      <c r="E17" s="2">
        <v>496791515.38999999</v>
      </c>
      <c r="F17" s="2">
        <v>411531324.98000002</v>
      </c>
      <c r="G17" s="2">
        <v>398108479.14999998</v>
      </c>
      <c r="H17" s="25">
        <v>345023363.38</v>
      </c>
    </row>
    <row r="18" spans="1:8" x14ac:dyDescent="0.25">
      <c r="A18" s="1"/>
      <c r="B18" s="57" t="s">
        <v>19</v>
      </c>
      <c r="C18" s="2">
        <v>13981930.369999999</v>
      </c>
      <c r="D18" s="27">
        <v>21957492.649999999</v>
      </c>
      <c r="E18" s="2">
        <v>27596961.960000001</v>
      </c>
      <c r="F18" s="2">
        <v>25601541.850000001</v>
      </c>
      <c r="G18" s="2">
        <v>8383888.7599999998</v>
      </c>
      <c r="H18" s="25">
        <v>5322052.7699999996</v>
      </c>
    </row>
    <row r="19" spans="1:8" x14ac:dyDescent="0.25">
      <c r="A19" s="1"/>
      <c r="B19" s="57" t="s">
        <v>20</v>
      </c>
      <c r="C19" s="2">
        <v>69650288.030000001</v>
      </c>
      <c r="D19" s="27">
        <v>49547644.579999998</v>
      </c>
      <c r="E19" s="37">
        <v>27086472.300000001</v>
      </c>
      <c r="F19" s="37">
        <f>36082150.16</f>
        <v>36082150.159999996</v>
      </c>
      <c r="G19" s="37">
        <v>41018314.869999997</v>
      </c>
      <c r="H19" s="45">
        <v>25502705.719999999</v>
      </c>
    </row>
    <row r="20" spans="1:8" x14ac:dyDescent="0.25">
      <c r="A20" s="1"/>
      <c r="B20" s="57" t="s">
        <v>21</v>
      </c>
      <c r="C20" s="2">
        <v>802036.62</v>
      </c>
      <c r="D20" s="27">
        <v>1412787.6</v>
      </c>
      <c r="E20" s="2">
        <v>1157966.8600000001</v>
      </c>
      <c r="F20" s="2">
        <v>2296705.11</v>
      </c>
      <c r="G20" s="2">
        <v>1347945.74</v>
      </c>
      <c r="H20" s="25">
        <v>1428104.14</v>
      </c>
    </row>
    <row r="21" spans="1:8" x14ac:dyDescent="0.25">
      <c r="A21" s="1"/>
      <c r="B21" s="57" t="s">
        <v>22</v>
      </c>
      <c r="C21" s="2">
        <v>263087.25</v>
      </c>
      <c r="D21" s="27">
        <v>1627986.87</v>
      </c>
      <c r="E21" s="2">
        <v>2151316.2799999998</v>
      </c>
      <c r="F21" s="2">
        <v>2293113.2799999998</v>
      </c>
    </row>
    <row r="22" spans="1:8" x14ac:dyDescent="0.25">
      <c r="A22" s="1"/>
      <c r="B22" s="57" t="s">
        <v>23</v>
      </c>
      <c r="C22" s="2">
        <v>59813763.630000114</v>
      </c>
      <c r="D22" s="27">
        <v>50632903.349999905</v>
      </c>
      <c r="E22" s="37">
        <f>2005683.48+21437102.5+23108553.53</f>
        <v>46551339.510000005</v>
      </c>
      <c r="F22" s="37">
        <v>16749539.140000001</v>
      </c>
      <c r="G22" s="46">
        <v>7831649.0599999996</v>
      </c>
      <c r="H22" s="37">
        <v>15766894.199999999</v>
      </c>
    </row>
    <row r="23" spans="1:8" x14ac:dyDescent="0.25">
      <c r="A23" s="1"/>
      <c r="B23" s="57" t="s">
        <v>24</v>
      </c>
      <c r="C23" s="2">
        <f>16902633.88+21893267.98</f>
        <v>38795901.859999999</v>
      </c>
      <c r="D23" s="27">
        <f>15847661.8+10379190.9</f>
        <v>26226852.700000003</v>
      </c>
      <c r="E23" s="37">
        <f>13808232.72+7716198.73</f>
        <v>21524431.450000003</v>
      </c>
      <c r="F23" s="37">
        <f>7196666+10583485.34</f>
        <v>17780151.34</v>
      </c>
      <c r="G23" s="38">
        <v>21358676</v>
      </c>
      <c r="H23" s="37">
        <v>3919100</v>
      </c>
    </row>
    <row r="24" spans="1:8" x14ac:dyDescent="0.25">
      <c r="A24" s="1"/>
      <c r="B24" s="57" t="s">
        <v>25</v>
      </c>
      <c r="C24" s="2">
        <v>34977206.049999997</v>
      </c>
      <c r="D24" s="27">
        <v>40728324.07</v>
      </c>
      <c r="E24" s="2">
        <v>21125978.25</v>
      </c>
      <c r="F24" s="2">
        <v>19053560.969999999</v>
      </c>
      <c r="G24" s="2">
        <v>15779343.140000001</v>
      </c>
      <c r="H24" s="2">
        <v>15059985.039999999</v>
      </c>
    </row>
    <row r="25" spans="1:8" x14ac:dyDescent="0.25">
      <c r="A25" s="1"/>
      <c r="C25" s="2"/>
      <c r="D25" s="27"/>
    </row>
    <row r="26" spans="1:8" x14ac:dyDescent="0.25">
      <c r="A26" s="8" t="s">
        <v>26</v>
      </c>
      <c r="B26" s="58"/>
      <c r="C26" s="9">
        <f t="shared" ref="C26:H26" si="7">SUM(C27:C32)</f>
        <v>788466339.22000015</v>
      </c>
      <c r="D26" s="29">
        <f t="shared" si="7"/>
        <v>705855431.34000003</v>
      </c>
      <c r="E26" s="29">
        <f t="shared" si="7"/>
        <v>625144844.3900001</v>
      </c>
      <c r="F26" s="29">
        <f t="shared" si="7"/>
        <v>502888126.60000002</v>
      </c>
      <c r="G26" s="29">
        <f t="shared" si="7"/>
        <v>318123406.37</v>
      </c>
      <c r="H26" s="29">
        <f t="shared" si="7"/>
        <v>95754892.400000006</v>
      </c>
    </row>
    <row r="27" spans="1:8" x14ac:dyDescent="0.25">
      <c r="A27" s="1"/>
      <c r="B27" s="57" t="s">
        <v>27</v>
      </c>
      <c r="C27" s="2">
        <v>296651226.17000002</v>
      </c>
      <c r="D27" s="27">
        <v>68991107.900000006</v>
      </c>
      <c r="E27" s="2">
        <v>82420787.409999996</v>
      </c>
      <c r="F27" s="2">
        <v>88342057.540000007</v>
      </c>
      <c r="G27" s="2">
        <v>61686373.210000001</v>
      </c>
      <c r="H27" s="2">
        <v>67165131.840000004</v>
      </c>
    </row>
    <row r="28" spans="1:8" x14ac:dyDescent="0.25">
      <c r="B28" s="57" t="s">
        <v>28</v>
      </c>
      <c r="C28" s="2">
        <v>134959435.80000001</v>
      </c>
      <c r="D28" s="27">
        <v>248056286.97999999</v>
      </c>
      <c r="E28" s="2">
        <v>120646133.22</v>
      </c>
    </row>
    <row r="29" spans="1:8" x14ac:dyDescent="0.25">
      <c r="B29" s="57" t="s">
        <v>29</v>
      </c>
      <c r="C29" s="2">
        <v>43404510.600000001</v>
      </c>
      <c r="D29" s="27">
        <v>70889834.370000005</v>
      </c>
      <c r="E29" s="2">
        <v>107053350.09999999</v>
      </c>
      <c r="F29" s="2">
        <v>99376293.439999998</v>
      </c>
    </row>
    <row r="30" spans="1:8" x14ac:dyDescent="0.25">
      <c r="B30" s="57" t="s">
        <v>30</v>
      </c>
      <c r="C30" s="2">
        <v>79351284.969999999</v>
      </c>
      <c r="D30" s="27">
        <v>87027526.129999995</v>
      </c>
      <c r="E30" s="2">
        <v>102293232.89</v>
      </c>
      <c r="F30" s="2">
        <v>117983332.69</v>
      </c>
      <c r="G30" s="2">
        <v>59044732.509999998</v>
      </c>
      <c r="H30" s="2">
        <v>17609109.399999999</v>
      </c>
    </row>
    <row r="31" spans="1:8" x14ac:dyDescent="0.25">
      <c r="B31" s="57" t="s">
        <v>31</v>
      </c>
      <c r="C31" s="2">
        <v>184668972.58000001</v>
      </c>
      <c r="D31" s="27">
        <v>184668972.58000001</v>
      </c>
      <c r="E31" s="2">
        <v>184668972.58000001</v>
      </c>
      <c r="F31" s="2">
        <v>184668972.58000001</v>
      </c>
      <c r="G31" s="2">
        <v>184668972.58000001</v>
      </c>
    </row>
    <row r="32" spans="1:8" x14ac:dyDescent="0.25">
      <c r="B32" s="57" t="s">
        <v>32</v>
      </c>
      <c r="C32" s="2">
        <v>49430909.100000001</v>
      </c>
      <c r="D32" s="27">
        <v>46221703.380000003</v>
      </c>
      <c r="E32" s="2">
        <v>28062368.190000001</v>
      </c>
      <c r="F32" s="2">
        <v>12517470.35</v>
      </c>
      <c r="G32" s="2">
        <v>12723328.07</v>
      </c>
      <c r="H32" s="2">
        <v>10980651.16</v>
      </c>
    </row>
    <row r="33" spans="1:8" x14ac:dyDescent="0.25">
      <c r="D33" s="27"/>
    </row>
    <row r="34" spans="1:8" x14ac:dyDescent="0.25">
      <c r="A34" s="23" t="s">
        <v>33</v>
      </c>
      <c r="C34" s="11">
        <f t="shared" ref="C34:H34" si="8">C35+C49+C52</f>
        <v>4476319129.6899996</v>
      </c>
      <c r="D34" s="29">
        <f t="shared" si="8"/>
        <v>3954415069.1300001</v>
      </c>
      <c r="E34" s="29">
        <f t="shared" si="8"/>
        <v>3259285626.6000004</v>
      </c>
      <c r="F34" s="29">
        <f t="shared" si="8"/>
        <v>2645460097.9500003</v>
      </c>
      <c r="G34" s="29">
        <f t="shared" si="8"/>
        <v>1620762893.4499996</v>
      </c>
      <c r="H34" s="29">
        <f t="shared" si="8"/>
        <v>775413228.14999998</v>
      </c>
    </row>
    <row r="35" spans="1:8" x14ac:dyDescent="0.2">
      <c r="A35" s="5" t="s">
        <v>34</v>
      </c>
      <c r="C35" s="9">
        <f t="shared" ref="C35:H35" si="9">SUM(C36:C47)</f>
        <v>4363217954.1000004</v>
      </c>
      <c r="D35" s="29">
        <f t="shared" si="9"/>
        <v>3876009543</v>
      </c>
      <c r="E35" s="29">
        <f t="shared" si="9"/>
        <v>3124016310.5400004</v>
      </c>
      <c r="F35" s="29">
        <f t="shared" si="9"/>
        <v>2530946896.6100001</v>
      </c>
      <c r="G35" s="29">
        <f t="shared" si="9"/>
        <v>1620762893.4499996</v>
      </c>
      <c r="H35" s="29">
        <f t="shared" si="9"/>
        <v>775413228.14999998</v>
      </c>
    </row>
    <row r="36" spans="1:8" x14ac:dyDescent="0.2">
      <c r="A36" s="5"/>
      <c r="B36" s="57" t="s">
        <v>35</v>
      </c>
      <c r="C36" s="2">
        <v>445865695.26999998</v>
      </c>
      <c r="D36" s="27">
        <v>453484554.12</v>
      </c>
      <c r="E36" s="2">
        <v>306304743.18000001</v>
      </c>
      <c r="F36" s="2">
        <v>212196638.96000001</v>
      </c>
      <c r="G36" s="2">
        <v>140389466.91</v>
      </c>
      <c r="H36" s="2">
        <v>60235680.770000003</v>
      </c>
    </row>
    <row r="37" spans="1:8" x14ac:dyDescent="0.2">
      <c r="A37" s="5"/>
      <c r="B37" s="57" t="s">
        <v>36</v>
      </c>
      <c r="C37" s="2"/>
      <c r="D37" s="27"/>
      <c r="E37" s="2"/>
      <c r="F37" s="2"/>
      <c r="G37" s="2"/>
      <c r="H37" s="2">
        <v>437673626.00999999</v>
      </c>
    </row>
    <row r="38" spans="1:8" x14ac:dyDescent="0.2">
      <c r="A38" s="5"/>
      <c r="B38" s="57" t="s">
        <v>37</v>
      </c>
      <c r="C38" s="2">
        <v>2135535896.03</v>
      </c>
      <c r="D38" s="27">
        <v>1891874143.9300001</v>
      </c>
      <c r="E38" s="2">
        <v>1731247591.55</v>
      </c>
      <c r="F38" s="2">
        <v>1420876018.0799999</v>
      </c>
      <c r="G38" s="2">
        <v>832750626.63</v>
      </c>
    </row>
    <row r="39" spans="1:8" x14ac:dyDescent="0.2">
      <c r="A39" s="5"/>
      <c r="B39" s="57" t="s">
        <v>38</v>
      </c>
      <c r="C39" s="2">
        <v>481065909.62</v>
      </c>
      <c r="D39" s="27">
        <v>463591057.45999998</v>
      </c>
      <c r="E39" s="2">
        <v>394332633.05000001</v>
      </c>
      <c r="F39" s="2">
        <v>360307219.19</v>
      </c>
      <c r="G39" s="2">
        <v>249947163.12</v>
      </c>
      <c r="H39" s="2">
        <v>155294527.97</v>
      </c>
    </row>
    <row r="40" spans="1:8" x14ac:dyDescent="0.2">
      <c r="A40" s="5"/>
      <c r="B40" s="57" t="s">
        <v>39</v>
      </c>
      <c r="C40" s="64">
        <v>80085592.769999996</v>
      </c>
      <c r="D40" s="27">
        <v>70268322.719999999</v>
      </c>
      <c r="E40" s="2">
        <v>45606445.439999998</v>
      </c>
      <c r="F40" s="2">
        <v>55460575.329999998</v>
      </c>
      <c r="G40" s="2">
        <v>112428662.54000001</v>
      </c>
      <c r="H40" s="2">
        <v>37890686.5</v>
      </c>
    </row>
    <row r="41" spans="1:8" x14ac:dyDescent="0.2">
      <c r="A41" s="5"/>
      <c r="B41" s="57" t="s">
        <v>40</v>
      </c>
      <c r="C41" s="2">
        <v>116662461.26000001</v>
      </c>
      <c r="D41" s="27">
        <v>103671965.14</v>
      </c>
      <c r="E41" s="2">
        <v>97531167.480000004</v>
      </c>
      <c r="F41" s="37">
        <v>90666378.489999995</v>
      </c>
      <c r="G41" s="47">
        <v>49333920.270000003</v>
      </c>
      <c r="H41" s="48">
        <v>35618022.469999999</v>
      </c>
    </row>
    <row r="42" spans="1:8" x14ac:dyDescent="0.2">
      <c r="A42" s="5"/>
      <c r="B42" s="57" t="s">
        <v>41</v>
      </c>
      <c r="C42" s="2">
        <v>107215308.11</v>
      </c>
      <c r="D42" s="27">
        <v>134163014.03</v>
      </c>
      <c r="E42" s="37">
        <v>109350691.39</v>
      </c>
      <c r="F42" s="37">
        <v>88406222.099999994</v>
      </c>
      <c r="G42" s="2">
        <v>52964851.549999997</v>
      </c>
    </row>
    <row r="43" spans="1:8" x14ac:dyDescent="0.2">
      <c r="A43" s="5"/>
      <c r="B43" s="57" t="s">
        <v>42</v>
      </c>
      <c r="D43" s="27">
        <v>56710317.289999999</v>
      </c>
      <c r="E43" s="37">
        <v>51723271.25</v>
      </c>
      <c r="F43" s="37">
        <v>47174780.850000001</v>
      </c>
    </row>
    <row r="44" spans="1:8" x14ac:dyDescent="0.2">
      <c r="A44" s="5"/>
      <c r="B44" s="57" t="s">
        <v>43</v>
      </c>
      <c r="D44" s="27">
        <v>10000000</v>
      </c>
    </row>
    <row r="45" spans="1:8" x14ac:dyDescent="0.2">
      <c r="A45" s="5"/>
      <c r="B45" s="57" t="s">
        <v>44</v>
      </c>
      <c r="C45" s="2">
        <v>2392855.73</v>
      </c>
      <c r="D45" s="27">
        <v>36640186.950000003</v>
      </c>
      <c r="E45" s="2">
        <v>43847197</v>
      </c>
      <c r="F45" s="2">
        <v>66634447.210000001</v>
      </c>
      <c r="G45" s="2">
        <v>83720563.299999997</v>
      </c>
      <c r="H45" s="2">
        <v>35553470.619999997</v>
      </c>
    </row>
    <row r="46" spans="1:8" x14ac:dyDescent="0.2">
      <c r="A46" s="5"/>
      <c r="B46" s="57" t="s">
        <v>45</v>
      </c>
      <c r="C46" s="2">
        <v>943348599.33000004</v>
      </c>
      <c r="D46" s="38">
        <v>612638895.13</v>
      </c>
      <c r="E46" s="37">
        <v>317281371.75999999</v>
      </c>
      <c r="F46" s="37">
        <v>173339835.02000001</v>
      </c>
      <c r="G46" s="37">
        <v>84923225.060000002</v>
      </c>
    </row>
    <row r="47" spans="1:8" x14ac:dyDescent="0.2">
      <c r="A47" s="5"/>
      <c r="B47" s="57" t="s">
        <v>46</v>
      </c>
      <c r="C47" s="2">
        <v>51045635.979999997</v>
      </c>
      <c r="D47" s="27">
        <v>42967086.229999997</v>
      </c>
      <c r="E47" s="2">
        <v>26791198.440000001</v>
      </c>
      <c r="F47" s="2">
        <v>15884781.380000001</v>
      </c>
      <c r="G47" s="2">
        <v>14304414.07</v>
      </c>
      <c r="H47" s="2">
        <v>13147213.810000001</v>
      </c>
    </row>
    <row r="48" spans="1:8" x14ac:dyDescent="0.2">
      <c r="A48" s="5"/>
      <c r="C48" s="2"/>
      <c r="D48" s="27"/>
    </row>
    <row r="49" spans="1:8" x14ac:dyDescent="0.2">
      <c r="A49" s="5" t="s">
        <v>47</v>
      </c>
      <c r="C49" s="9">
        <f t="shared" ref="C49:H49" si="10">SUM(C50:C51)</f>
        <v>95902275.439999998</v>
      </c>
      <c r="D49" s="29">
        <f t="shared" si="10"/>
        <v>36734728.789999999</v>
      </c>
      <c r="E49" s="29">
        <f t="shared" si="10"/>
        <v>65846468.350000001</v>
      </c>
      <c r="F49" s="29">
        <f t="shared" si="10"/>
        <v>39796839.009999998</v>
      </c>
      <c r="G49" s="29">
        <f t="shared" si="10"/>
        <v>0</v>
      </c>
      <c r="H49" s="29">
        <f t="shared" si="10"/>
        <v>0</v>
      </c>
    </row>
    <row r="50" spans="1:8" x14ac:dyDescent="0.2">
      <c r="A50" s="5"/>
      <c r="B50" s="57" t="s">
        <v>48</v>
      </c>
      <c r="C50" s="2">
        <v>95902275.439999998</v>
      </c>
      <c r="D50" s="27">
        <v>36734728.789999999</v>
      </c>
      <c r="E50" s="2">
        <v>65846468.350000001</v>
      </c>
      <c r="F50" s="2">
        <v>39796839.009999998</v>
      </c>
    </row>
    <row r="51" spans="1:8" x14ac:dyDescent="0.2">
      <c r="A51" s="5"/>
      <c r="C51" s="2"/>
      <c r="D51" s="27"/>
    </row>
    <row r="52" spans="1:8" x14ac:dyDescent="0.2">
      <c r="A52" s="5" t="s">
        <v>49</v>
      </c>
      <c r="C52" s="9">
        <f t="shared" ref="C52:H52" si="11">SUM(C53:C54)</f>
        <v>17198900.149999999</v>
      </c>
      <c r="D52" s="29">
        <f t="shared" si="11"/>
        <v>41670797.340000004</v>
      </c>
      <c r="E52" s="29">
        <f t="shared" si="11"/>
        <v>69422847.709999993</v>
      </c>
      <c r="F52" s="29">
        <f t="shared" si="11"/>
        <v>74716362.329999998</v>
      </c>
      <c r="G52" s="29">
        <f t="shared" si="11"/>
        <v>0</v>
      </c>
      <c r="H52" s="29">
        <f t="shared" si="11"/>
        <v>0</v>
      </c>
    </row>
    <row r="53" spans="1:8" x14ac:dyDescent="0.2">
      <c r="A53" s="5"/>
      <c r="B53" s="57" t="s">
        <v>50</v>
      </c>
      <c r="C53" s="2">
        <v>17198900.149999999</v>
      </c>
      <c r="D53" s="27">
        <v>41670797.340000004</v>
      </c>
      <c r="E53" s="2">
        <v>69422847.709999993</v>
      </c>
      <c r="F53" s="2">
        <v>74716362.329999998</v>
      </c>
    </row>
    <row r="54" spans="1:8" x14ac:dyDescent="0.2">
      <c r="A54" s="6"/>
      <c r="D54" s="27"/>
    </row>
    <row r="55" spans="1:8" x14ac:dyDescent="0.2">
      <c r="A55" s="7" t="s">
        <v>51</v>
      </c>
      <c r="C55" s="9">
        <f t="shared" ref="C55:H55" si="12">SUM(C56:C62)</f>
        <v>11436569626.540001</v>
      </c>
      <c r="D55" s="29">
        <f t="shared" si="12"/>
        <v>10019606238.82</v>
      </c>
      <c r="E55" s="29">
        <f t="shared" si="12"/>
        <v>8798390968.0599995</v>
      </c>
      <c r="F55" s="29">
        <f t="shared" si="12"/>
        <v>7780209312.9000015</v>
      </c>
      <c r="G55" s="29">
        <f t="shared" si="12"/>
        <v>6890823277.8900003</v>
      </c>
      <c r="H55" s="29">
        <f t="shared" si="12"/>
        <v>6068580258.4400005</v>
      </c>
    </row>
    <row r="56" spans="1:8" x14ac:dyDescent="0.25">
      <c r="B56" s="57" t="s">
        <v>52</v>
      </c>
      <c r="C56" s="2">
        <v>462525643</v>
      </c>
      <c r="D56" s="27">
        <v>461723327</v>
      </c>
      <c r="E56" s="2">
        <v>461221529</v>
      </c>
      <c r="F56" s="2">
        <v>461000000</v>
      </c>
      <c r="G56" s="2">
        <v>461000000</v>
      </c>
      <c r="H56" s="2">
        <v>461000000</v>
      </c>
    </row>
    <row r="57" spans="1:8" x14ac:dyDescent="0.25">
      <c r="B57" s="57" t="s">
        <v>53</v>
      </c>
      <c r="C57" s="2">
        <v>5440790070.2600002</v>
      </c>
      <c r="D57" s="27">
        <v>5177797385.2399998</v>
      </c>
      <c r="E57" s="2">
        <v>4941641371.2799997</v>
      </c>
      <c r="F57" s="2">
        <v>4747522745.9700003</v>
      </c>
      <c r="G57" s="2">
        <v>4641910463.3000002</v>
      </c>
      <c r="H57" s="2">
        <v>4588252580.5900002</v>
      </c>
    </row>
    <row r="58" spans="1:8" x14ac:dyDescent="0.25">
      <c r="B58" s="57" t="s">
        <v>54</v>
      </c>
      <c r="C58" s="2">
        <v>-100028167.68000001</v>
      </c>
      <c r="D58" s="27"/>
    </row>
    <row r="59" spans="1:8" x14ac:dyDescent="0.25">
      <c r="B59" s="57" t="s">
        <v>55</v>
      </c>
      <c r="C59" s="2">
        <v>19660493.48</v>
      </c>
      <c r="D59" s="27">
        <v>15457652.310000001</v>
      </c>
      <c r="E59" s="2">
        <v>11403623.32</v>
      </c>
      <c r="F59" s="2">
        <v>-4213410.25</v>
      </c>
      <c r="G59" s="2">
        <v>-680613.3</v>
      </c>
      <c r="H59" s="2">
        <v>6492873.1100000003</v>
      </c>
    </row>
    <row r="60" spans="1:8" x14ac:dyDescent="0.25">
      <c r="B60" s="57" t="s">
        <v>56</v>
      </c>
      <c r="C60" s="2">
        <v>231262821.5</v>
      </c>
      <c r="D60" s="27">
        <v>200756553.5</v>
      </c>
      <c r="E60" s="2">
        <v>152973070.31999999</v>
      </c>
      <c r="F60" s="2">
        <v>107031450.02</v>
      </c>
      <c r="G60" s="2">
        <v>71827657.840000004</v>
      </c>
      <c r="H60" s="2">
        <v>59681242.520000003</v>
      </c>
    </row>
    <row r="61" spans="1:8" x14ac:dyDescent="0.25">
      <c r="B61" s="57" t="s">
        <v>57</v>
      </c>
      <c r="C61" s="2">
        <v>5301346699.0500002</v>
      </c>
      <c r="D61" s="27">
        <v>4093062809.6999998</v>
      </c>
      <c r="E61" s="2">
        <v>3157062575.6300001</v>
      </c>
      <c r="F61" s="2">
        <v>2408174713.8899999</v>
      </c>
      <c r="G61" s="2">
        <v>1680848412.0799999</v>
      </c>
      <c r="H61" s="2">
        <v>953153562.22000003</v>
      </c>
    </row>
    <row r="62" spans="1:8" x14ac:dyDescent="0.25">
      <c r="B62" s="57" t="s">
        <v>58</v>
      </c>
      <c r="C62" s="2">
        <v>81012066.930000007</v>
      </c>
      <c r="D62" s="27">
        <v>70808511.069999993</v>
      </c>
      <c r="E62" s="2">
        <v>74088798.510000005</v>
      </c>
      <c r="F62" s="2">
        <v>60693813.270000003</v>
      </c>
      <c r="G62" s="2">
        <v>35917357.969999999</v>
      </c>
    </row>
    <row r="63" spans="1:8" x14ac:dyDescent="0.25">
      <c r="D63" s="27"/>
    </row>
    <row r="64" spans="1:8" x14ac:dyDescent="0.25">
      <c r="C64" s="11"/>
      <c r="D64" s="27"/>
    </row>
    <row r="65" spans="3:8" x14ac:dyDescent="0.25">
      <c r="C65" s="10">
        <f t="shared" ref="C65:H65" si="13">C55+C34</f>
        <v>15912888756.23</v>
      </c>
      <c r="D65" s="27">
        <f t="shared" si="13"/>
        <v>13974021307.950001</v>
      </c>
      <c r="E65" s="27">
        <f t="shared" si="13"/>
        <v>12057676594.66</v>
      </c>
      <c r="F65" s="27">
        <f t="shared" si="13"/>
        <v>10425669410.850002</v>
      </c>
      <c r="G65" s="27">
        <f t="shared" si="13"/>
        <v>8511586171.3400002</v>
      </c>
      <c r="H65" s="27">
        <f t="shared" si="13"/>
        <v>6843993486.5900002</v>
      </c>
    </row>
    <row r="69" spans="3:8" x14ac:dyDescent="0.25">
      <c r="C69" s="10">
        <f>C65-C2</f>
        <v>0</v>
      </c>
      <c r="D69" s="10">
        <f>D65-D2</f>
        <v>0</v>
      </c>
    </row>
  </sheetData>
  <sheetProtection sheet="1" objects="1" scenarios="1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9A5F-7A53-454F-8BD9-A58508D87BDD}">
  <sheetPr codeName="Sheet3"/>
  <dimension ref="A1:J64"/>
  <sheetViews>
    <sheetView workbookViewId="0">
      <selection activeCell="F31" sqref="F31"/>
    </sheetView>
  </sheetViews>
  <sheetFormatPr defaultColWidth="11" defaultRowHeight="15.75" x14ac:dyDescent="0.25"/>
  <cols>
    <col min="1" max="1" width="14.5" customWidth="1"/>
    <col min="2" max="2" width="25.125" style="1" customWidth="1"/>
    <col min="3" max="3" width="20.5" customWidth="1"/>
    <col min="4" max="5" width="21.375" bestFit="1" customWidth="1"/>
    <col min="6" max="6" width="20.5" bestFit="1" customWidth="1"/>
    <col min="7" max="8" width="20.125" bestFit="1" customWidth="1"/>
    <col min="9" max="9" width="24.125" customWidth="1"/>
    <col min="10" max="10" width="21.625" customWidth="1"/>
  </cols>
  <sheetData>
    <row r="1" spans="1:10" x14ac:dyDescent="0.25">
      <c r="C1" s="3" t="s">
        <v>0</v>
      </c>
      <c r="D1" s="3" t="s">
        <v>1</v>
      </c>
      <c r="E1" s="33" t="s">
        <v>2</v>
      </c>
      <c r="F1" s="33" t="s">
        <v>3</v>
      </c>
      <c r="G1" s="33" t="s">
        <v>4</v>
      </c>
      <c r="H1" s="33" t="s">
        <v>5</v>
      </c>
      <c r="I1" s="33"/>
      <c r="J1" s="33"/>
    </row>
    <row r="2" spans="1:10" x14ac:dyDescent="0.25">
      <c r="A2" t="s">
        <v>6</v>
      </c>
      <c r="C2" s="11">
        <f t="shared" ref="C2:H2" si="0">C3+C11+C15+C25</f>
        <v>15912888756.23</v>
      </c>
      <c r="D2" s="11">
        <f t="shared" si="0"/>
        <v>13974021307.950001</v>
      </c>
      <c r="E2" s="11">
        <f t="shared" si="0"/>
        <v>12057676594.659998</v>
      </c>
      <c r="F2" s="11">
        <f t="shared" si="0"/>
        <v>10425669410.85</v>
      </c>
      <c r="G2" s="11">
        <f t="shared" si="0"/>
        <v>8511586171.3400002</v>
      </c>
      <c r="H2" s="11">
        <f t="shared" si="0"/>
        <v>6843993486.5900011</v>
      </c>
    </row>
    <row r="3" spans="1:10" x14ac:dyDescent="0.25">
      <c r="A3" s="8" t="s">
        <v>7</v>
      </c>
      <c r="B3" s="8"/>
      <c r="C3" s="9">
        <f>SUM(C4:C8)</f>
        <v>12832701295.039999</v>
      </c>
      <c r="D3" s="29">
        <f>SUM(D4:D8)</f>
        <v>11397442144.950001</v>
      </c>
      <c r="E3" s="29">
        <f>SUM(E4:E8)</f>
        <v>10315291049.059999</v>
      </c>
      <c r="F3" s="29">
        <f>SUM(F4:F9)</f>
        <v>9237088395.8600006</v>
      </c>
      <c r="G3" s="29">
        <f>SUM(G4:G9)</f>
        <v>7650500319.0200005</v>
      </c>
      <c r="H3" s="29">
        <f>SUM(H4:H9)</f>
        <v>6289350664.5300007</v>
      </c>
    </row>
    <row r="4" spans="1:10" x14ac:dyDescent="0.25">
      <c r="A4" s="1"/>
      <c r="B4" s="1" t="s">
        <v>8</v>
      </c>
      <c r="C4" s="2">
        <v>897936293.08000004</v>
      </c>
      <c r="D4" s="27">
        <v>3478159254.52</v>
      </c>
      <c r="E4" s="2">
        <v>7015446058.6099997</v>
      </c>
      <c r="F4" s="2">
        <v>1253958568.75</v>
      </c>
      <c r="G4" s="2">
        <v>1003504128.73</v>
      </c>
      <c r="H4" s="2">
        <v>749236675.83000004</v>
      </c>
    </row>
    <row r="5" spans="1:10" x14ac:dyDescent="0.25">
      <c r="A5" s="1"/>
      <c r="B5" s="1" t="s">
        <v>9</v>
      </c>
      <c r="C5" s="2">
        <v>1384151830.27</v>
      </c>
      <c r="D5" s="27">
        <v>2570762119.7199998</v>
      </c>
      <c r="E5" s="2">
        <v>1192107361.8299999</v>
      </c>
      <c r="F5" s="2">
        <v>6941832294.71</v>
      </c>
      <c r="G5" s="2">
        <v>6625445171.0299997</v>
      </c>
      <c r="H5" s="2">
        <v>5536194608.3900003</v>
      </c>
    </row>
    <row r="6" spans="1:10" x14ac:dyDescent="0.25">
      <c r="A6" s="1"/>
      <c r="B6" s="1" t="s">
        <v>151</v>
      </c>
      <c r="C6" s="2">
        <v>77313613.219999999</v>
      </c>
      <c r="D6" s="27">
        <v>1154634585.4400001</v>
      </c>
    </row>
    <row r="7" spans="1:10" x14ac:dyDescent="0.25">
      <c r="A7" s="1"/>
      <c r="B7" s="1" t="s">
        <v>23</v>
      </c>
      <c r="C7" s="2">
        <v>3090912300.73</v>
      </c>
      <c r="D7" s="27">
        <v>2249205659.6399999</v>
      </c>
      <c r="E7" s="37">
        <v>962979425.75999999</v>
      </c>
      <c r="F7" s="4"/>
    </row>
    <row r="8" spans="1:10" x14ac:dyDescent="0.25">
      <c r="A8" s="1"/>
      <c r="B8" s="1" t="s">
        <v>24</v>
      </c>
      <c r="C8" s="2">
        <v>7382387257.7399998</v>
      </c>
      <c r="D8" s="27">
        <v>1944680525.6300001</v>
      </c>
      <c r="E8" s="2">
        <v>1144758202.8599999</v>
      </c>
      <c r="F8" s="2">
        <v>1041146956.96</v>
      </c>
      <c r="G8" s="38">
        <v>21358676</v>
      </c>
      <c r="H8" s="37">
        <v>3919100</v>
      </c>
    </row>
    <row r="9" spans="1:10" x14ac:dyDescent="0.25">
      <c r="A9" s="1"/>
      <c r="B9" s="1" t="s">
        <v>152</v>
      </c>
      <c r="C9" s="2"/>
      <c r="D9" s="27"/>
      <c r="F9" s="37">
        <v>150575.44</v>
      </c>
      <c r="G9" s="27">
        <v>192343.26</v>
      </c>
      <c r="H9">
        <v>280.31</v>
      </c>
    </row>
    <row r="10" spans="1:10" x14ac:dyDescent="0.25">
      <c r="A10" s="1"/>
      <c r="C10" s="2"/>
      <c r="D10" s="27"/>
      <c r="G10" s="27"/>
    </row>
    <row r="11" spans="1:10" x14ac:dyDescent="0.25">
      <c r="A11" s="8" t="s">
        <v>13</v>
      </c>
      <c r="C11" s="9">
        <f t="shared" ref="C11:H11" si="1">SUM(C12:C14)</f>
        <v>1602356098.3599999</v>
      </c>
      <c r="D11" s="9">
        <f t="shared" si="1"/>
        <v>1135796244.4200001</v>
      </c>
      <c r="E11" s="9">
        <f t="shared" si="1"/>
        <v>491331400.65999997</v>
      </c>
      <c r="F11" s="9">
        <f t="shared" si="1"/>
        <v>168417952.90000001</v>
      </c>
      <c r="G11" s="9">
        <f t="shared" si="1"/>
        <v>68151925.230000004</v>
      </c>
      <c r="H11" s="9">
        <f t="shared" si="1"/>
        <v>48698670.560000002</v>
      </c>
    </row>
    <row r="12" spans="1:10" x14ac:dyDescent="0.25">
      <c r="B12" s="1" t="s">
        <v>13</v>
      </c>
      <c r="C12" s="2">
        <v>1563007458.48</v>
      </c>
      <c r="D12" s="27">
        <v>1094062948.51</v>
      </c>
      <c r="E12" s="2">
        <v>444095244.27999997</v>
      </c>
      <c r="F12" s="2">
        <v>123194791.16</v>
      </c>
      <c r="G12" s="47">
        <v>35832544.560000002</v>
      </c>
      <c r="H12" s="47">
        <v>21856849.760000002</v>
      </c>
    </row>
    <row r="13" spans="1:10" x14ac:dyDescent="0.25">
      <c r="A13" s="1"/>
      <c r="B13" s="1" t="s">
        <v>14</v>
      </c>
      <c r="C13" s="2">
        <v>19967434.079999998</v>
      </c>
      <c r="D13" s="27">
        <v>19754307.52</v>
      </c>
      <c r="E13" s="2">
        <v>19615452.34</v>
      </c>
      <c r="F13" s="2">
        <v>8800619.9800000004</v>
      </c>
      <c r="G13" s="47">
        <v>9058955.2100000009</v>
      </c>
      <c r="H13" s="47">
        <v>9642362.2599999998</v>
      </c>
    </row>
    <row r="14" spans="1:10" x14ac:dyDescent="0.25">
      <c r="A14" s="1"/>
      <c r="B14" s="1" t="s">
        <v>153</v>
      </c>
      <c r="C14" s="64">
        <v>19381205.800000001</v>
      </c>
      <c r="D14" s="27">
        <v>21978988.390000001</v>
      </c>
      <c r="E14" s="2">
        <v>27620704.039999999</v>
      </c>
      <c r="F14" s="2">
        <v>36422541.759999998</v>
      </c>
      <c r="G14" s="47">
        <v>23260425.460000001</v>
      </c>
      <c r="H14" s="47">
        <v>17199458.539999999</v>
      </c>
    </row>
    <row r="15" spans="1:10" x14ac:dyDescent="0.25">
      <c r="A15" s="8" t="s">
        <v>16</v>
      </c>
      <c r="B15" s="8"/>
      <c r="C15" s="9">
        <f t="shared" ref="C15:H15" si="2">SUM(C16:C23)</f>
        <v>689365023.61000013</v>
      </c>
      <c r="D15" s="29">
        <f t="shared" si="2"/>
        <v>734927487.24000001</v>
      </c>
      <c r="E15" s="29">
        <f t="shared" si="2"/>
        <v>625909300.54999995</v>
      </c>
      <c r="F15" s="29">
        <f t="shared" si="2"/>
        <v>517274935.49000001</v>
      </c>
      <c r="G15" s="29">
        <f t="shared" si="2"/>
        <v>474810520.71999997</v>
      </c>
      <c r="H15" s="29">
        <f t="shared" si="2"/>
        <v>410189259.10000002</v>
      </c>
    </row>
    <row r="16" spans="1:10" x14ac:dyDescent="0.25">
      <c r="A16" s="1"/>
      <c r="B16" s="1" t="s">
        <v>17</v>
      </c>
      <c r="C16" s="2">
        <v>5309651.74</v>
      </c>
      <c r="D16" s="27">
        <v>2080000</v>
      </c>
      <c r="E16" s="2">
        <v>3447750</v>
      </c>
      <c r="F16" s="2">
        <v>3667000</v>
      </c>
      <c r="G16" s="28">
        <v>2340900</v>
      </c>
      <c r="H16" s="25">
        <v>2086153.85</v>
      </c>
      <c r="I16" s="1"/>
    </row>
    <row r="17" spans="1:8" x14ac:dyDescent="0.25">
      <c r="A17" s="1"/>
      <c r="B17" s="1" t="s">
        <v>18</v>
      </c>
      <c r="C17" s="2">
        <v>504567059.92000002</v>
      </c>
      <c r="D17" s="27">
        <v>566940348.12</v>
      </c>
      <c r="E17" s="2">
        <v>496791515.38999999</v>
      </c>
      <c r="F17" s="2">
        <v>411531324.98000002</v>
      </c>
      <c r="G17" s="2">
        <v>398108479.14999998</v>
      </c>
      <c r="H17" s="25">
        <v>345023363.38</v>
      </c>
    </row>
    <row r="18" spans="1:8" x14ac:dyDescent="0.25">
      <c r="A18" s="1"/>
      <c r="B18" s="1" t="s">
        <v>19</v>
      </c>
      <c r="C18" s="2">
        <v>13981930.369999999</v>
      </c>
      <c r="D18" s="27">
        <v>21957492.649999999</v>
      </c>
      <c r="E18" s="2">
        <v>27596961.960000001</v>
      </c>
      <c r="F18" s="2">
        <v>25601541.850000001</v>
      </c>
      <c r="G18" s="2">
        <v>8383888.7599999998</v>
      </c>
      <c r="H18" s="25">
        <v>5322052.7699999996</v>
      </c>
    </row>
    <row r="19" spans="1:8" x14ac:dyDescent="0.25">
      <c r="A19" s="1"/>
      <c r="B19" s="1" t="s">
        <v>20</v>
      </c>
      <c r="C19" s="2">
        <v>69650288.030000001</v>
      </c>
      <c r="D19" s="27">
        <v>49547644.579999998</v>
      </c>
      <c r="E19" s="37">
        <v>27086472.300000001</v>
      </c>
      <c r="F19" s="37">
        <f>36232725.6-F9</f>
        <v>36082150.160000004</v>
      </c>
      <c r="G19" s="37">
        <f>41210658.13-G9</f>
        <v>41018314.870000005</v>
      </c>
      <c r="H19" s="45">
        <f>25502986.03-H9</f>
        <v>25502705.720000003</v>
      </c>
    </row>
    <row r="20" spans="1:8" x14ac:dyDescent="0.25">
      <c r="A20" s="1"/>
      <c r="B20" s="1" t="s">
        <v>21</v>
      </c>
      <c r="C20" s="2">
        <v>802036.62</v>
      </c>
      <c r="D20" s="27">
        <v>1412787.6</v>
      </c>
      <c r="E20" s="2">
        <v>1157966.8600000001</v>
      </c>
      <c r="F20" s="2">
        <v>2296705.11</v>
      </c>
      <c r="G20" s="2">
        <v>1347945.74</v>
      </c>
      <c r="H20" s="25">
        <v>1428104.14</v>
      </c>
    </row>
    <row r="21" spans="1:8" x14ac:dyDescent="0.25">
      <c r="A21" s="1"/>
      <c r="B21" s="1" t="s">
        <v>22</v>
      </c>
      <c r="C21" s="2">
        <v>263087.25</v>
      </c>
      <c r="D21" s="27">
        <v>1627986.87</v>
      </c>
      <c r="E21" s="2">
        <v>2151316.2799999998</v>
      </c>
      <c r="F21" s="2">
        <v>2293113.2799999998</v>
      </c>
    </row>
    <row r="22" spans="1:8" x14ac:dyDescent="0.25">
      <c r="A22" s="1"/>
      <c r="B22" s="1" t="s">
        <v>23</v>
      </c>
      <c r="C22" s="2">
        <v>59813763.630000114</v>
      </c>
      <c r="D22" s="27">
        <v>50632903.349999905</v>
      </c>
      <c r="E22" s="37">
        <f>1009530765.27-E7</f>
        <v>46551339.50999999</v>
      </c>
      <c r="F22" s="37">
        <v>16749539.140000001</v>
      </c>
      <c r="G22" s="46">
        <v>7831649.0599999996</v>
      </c>
      <c r="H22" s="37">
        <v>15766894.199999999</v>
      </c>
    </row>
    <row r="23" spans="1:8" x14ac:dyDescent="0.25">
      <c r="A23" s="1"/>
      <c r="B23" s="1" t="s">
        <v>25</v>
      </c>
      <c r="C23" s="2">
        <v>34977206.049999997</v>
      </c>
      <c r="D23" s="27">
        <v>40728324.07</v>
      </c>
      <c r="E23" s="2">
        <v>21125978.25</v>
      </c>
      <c r="F23" s="2">
        <v>19053560.969999999</v>
      </c>
      <c r="G23" s="2">
        <v>15779343.140000001</v>
      </c>
      <c r="H23" s="2">
        <v>15059985.039999999</v>
      </c>
    </row>
    <row r="24" spans="1:8" x14ac:dyDescent="0.25">
      <c r="A24" s="1"/>
      <c r="C24" s="2"/>
      <c r="D24" s="27"/>
    </row>
    <row r="25" spans="1:8" x14ac:dyDescent="0.25">
      <c r="A25" s="8" t="s">
        <v>26</v>
      </c>
      <c r="B25" s="8"/>
      <c r="C25" s="9">
        <f t="shared" ref="C25:H25" si="3">SUM(C26:C31)</f>
        <v>788466339.22000015</v>
      </c>
      <c r="D25" s="29">
        <f t="shared" si="3"/>
        <v>705855431.34000003</v>
      </c>
      <c r="E25" s="29">
        <f t="shared" si="3"/>
        <v>625144844.3900001</v>
      </c>
      <c r="F25" s="29">
        <f t="shared" si="3"/>
        <v>502888126.60000002</v>
      </c>
      <c r="G25" s="29">
        <f t="shared" si="3"/>
        <v>318123406.37</v>
      </c>
      <c r="H25" s="29">
        <f t="shared" si="3"/>
        <v>95754892.400000006</v>
      </c>
    </row>
    <row r="26" spans="1:8" x14ac:dyDescent="0.25">
      <c r="A26" s="1"/>
      <c r="B26" s="1" t="s">
        <v>27</v>
      </c>
      <c r="C26" s="2">
        <v>296651226.17000002</v>
      </c>
      <c r="D26" s="27">
        <v>68991107.900000006</v>
      </c>
      <c r="E26" s="2">
        <v>82420787.409999996</v>
      </c>
      <c r="F26" s="2">
        <v>88342057.540000007</v>
      </c>
      <c r="G26" s="2">
        <v>61686373.210000001</v>
      </c>
      <c r="H26" s="2">
        <v>67165131.840000004</v>
      </c>
    </row>
    <row r="27" spans="1:8" x14ac:dyDescent="0.25">
      <c r="B27" s="1" t="s">
        <v>28</v>
      </c>
      <c r="C27" s="2">
        <v>134959435.80000001</v>
      </c>
      <c r="D27" s="27">
        <v>248056286.97999999</v>
      </c>
      <c r="E27" s="2">
        <v>120646133.22</v>
      </c>
    </row>
    <row r="28" spans="1:8" x14ac:dyDescent="0.25">
      <c r="B28" s="1" t="s">
        <v>29</v>
      </c>
      <c r="C28" s="2">
        <v>43404510.600000001</v>
      </c>
      <c r="D28" s="27">
        <v>70889834.370000005</v>
      </c>
      <c r="E28" s="2">
        <v>107053350.09999999</v>
      </c>
      <c r="F28" s="2">
        <v>99376293.439999998</v>
      </c>
    </row>
    <row r="29" spans="1:8" x14ac:dyDescent="0.25">
      <c r="B29" s="1" t="s">
        <v>30</v>
      </c>
      <c r="C29" s="2">
        <v>79351284.969999999</v>
      </c>
      <c r="D29" s="27">
        <v>87027526.129999995</v>
      </c>
      <c r="E29" s="2">
        <v>102293232.89</v>
      </c>
      <c r="F29" s="2">
        <v>117983332.69</v>
      </c>
      <c r="G29" s="2">
        <v>59044732.509999998</v>
      </c>
      <c r="H29" s="2">
        <v>17609109.399999999</v>
      </c>
    </row>
    <row r="30" spans="1:8" x14ac:dyDescent="0.25">
      <c r="B30" s="1" t="s">
        <v>31</v>
      </c>
      <c r="C30" s="2">
        <v>184668972.58000001</v>
      </c>
      <c r="D30" s="27">
        <v>184668972.58000001</v>
      </c>
      <c r="E30" s="2">
        <v>184668972.58000001</v>
      </c>
      <c r="F30" s="2">
        <v>184668972.58000001</v>
      </c>
      <c r="G30" s="2">
        <v>184668972.58000001</v>
      </c>
    </row>
    <row r="31" spans="1:8" x14ac:dyDescent="0.25">
      <c r="B31" s="1" t="s">
        <v>32</v>
      </c>
      <c r="C31" s="2">
        <v>49430909.100000001</v>
      </c>
      <c r="D31" s="27">
        <v>46221703.380000003</v>
      </c>
      <c r="E31" s="2">
        <v>28062368.190000001</v>
      </c>
      <c r="F31" s="2">
        <v>12517470.35</v>
      </c>
      <c r="G31" s="2">
        <v>12723328.07</v>
      </c>
      <c r="H31" s="2">
        <v>10980651.16</v>
      </c>
    </row>
    <row r="32" spans="1:8" x14ac:dyDescent="0.25">
      <c r="D32" s="27"/>
    </row>
    <row r="33" spans="1:8" x14ac:dyDescent="0.25">
      <c r="A33" s="23" t="s">
        <v>33</v>
      </c>
      <c r="C33" s="11">
        <f t="shared" ref="C33:H33" si="4">C34+C48+C51</f>
        <v>4476319129.6899996</v>
      </c>
      <c r="D33" s="29">
        <f t="shared" si="4"/>
        <v>3954415069.1300001</v>
      </c>
      <c r="E33" s="29">
        <f t="shared" si="4"/>
        <v>3259285626.6000004</v>
      </c>
      <c r="F33" s="29">
        <f t="shared" si="4"/>
        <v>2645460097.9500003</v>
      </c>
      <c r="G33" s="29">
        <f t="shared" si="4"/>
        <v>1620762893.4499996</v>
      </c>
      <c r="H33" s="29">
        <f t="shared" si="4"/>
        <v>775413228.14999998</v>
      </c>
    </row>
    <row r="34" spans="1:8" x14ac:dyDescent="0.2">
      <c r="A34" s="5" t="s">
        <v>34</v>
      </c>
      <c r="C34" s="9">
        <f t="shared" ref="C34:H34" si="5">SUM(C35:C46)</f>
        <v>4363217954.1000004</v>
      </c>
      <c r="D34" s="29">
        <f t="shared" si="5"/>
        <v>3876009543</v>
      </c>
      <c r="E34" s="29">
        <f t="shared" si="5"/>
        <v>3124016310.5400004</v>
      </c>
      <c r="F34" s="29">
        <f t="shared" si="5"/>
        <v>2530946896.6100001</v>
      </c>
      <c r="G34" s="29">
        <f t="shared" si="5"/>
        <v>1620762893.4499996</v>
      </c>
      <c r="H34" s="29">
        <f t="shared" si="5"/>
        <v>775413228.14999998</v>
      </c>
    </row>
    <row r="35" spans="1:8" x14ac:dyDescent="0.2">
      <c r="A35" s="5"/>
      <c r="B35" s="1" t="s">
        <v>35</v>
      </c>
      <c r="C35" s="2">
        <v>445865695.26999998</v>
      </c>
      <c r="D35" s="27">
        <v>453484554.12</v>
      </c>
      <c r="E35" s="2">
        <v>306304743.18000001</v>
      </c>
      <c r="F35" s="2">
        <v>212196638.96000001</v>
      </c>
      <c r="G35" s="2">
        <v>140389466.91</v>
      </c>
      <c r="H35" s="2">
        <v>60235680.770000003</v>
      </c>
    </row>
    <row r="36" spans="1:8" x14ac:dyDescent="0.2">
      <c r="A36" s="5"/>
      <c r="B36" s="1" t="s">
        <v>36</v>
      </c>
      <c r="C36" s="2"/>
      <c r="D36" s="27"/>
      <c r="E36" s="2"/>
      <c r="F36" s="2"/>
      <c r="G36" s="2"/>
      <c r="H36" s="2">
        <v>437673626.00999999</v>
      </c>
    </row>
    <row r="37" spans="1:8" x14ac:dyDescent="0.2">
      <c r="A37" s="5"/>
      <c r="B37" s="1" t="s">
        <v>37</v>
      </c>
      <c r="C37" s="2">
        <v>2135535896.03</v>
      </c>
      <c r="D37" s="27">
        <v>1891874143.9300001</v>
      </c>
      <c r="E37" s="2">
        <v>1731247591.55</v>
      </c>
      <c r="F37" s="2">
        <v>1420876018.0799999</v>
      </c>
      <c r="G37" s="2">
        <v>832750626.63</v>
      </c>
    </row>
    <row r="38" spans="1:8" x14ac:dyDescent="0.2">
      <c r="A38" s="5"/>
      <c r="B38" s="1" t="s">
        <v>38</v>
      </c>
      <c r="C38" s="2">
        <v>481065909.62</v>
      </c>
      <c r="D38" s="27">
        <v>463591057.45999998</v>
      </c>
      <c r="E38" s="2">
        <v>394332633.05000001</v>
      </c>
      <c r="F38" s="2">
        <v>360307219.19</v>
      </c>
      <c r="G38" s="2">
        <v>249947163.12</v>
      </c>
      <c r="H38" s="2">
        <v>155294527.97</v>
      </c>
    </row>
    <row r="39" spans="1:8" x14ac:dyDescent="0.2">
      <c r="A39" s="5"/>
      <c r="B39" s="1" t="s">
        <v>39</v>
      </c>
      <c r="C39" s="64">
        <v>80085592.769999996</v>
      </c>
      <c r="D39" s="27">
        <v>70268322.719999999</v>
      </c>
      <c r="E39" s="2">
        <v>45606445.439999998</v>
      </c>
      <c r="F39" s="2">
        <v>55460575.329999998</v>
      </c>
      <c r="G39" s="2">
        <v>112428662.54000001</v>
      </c>
      <c r="H39" s="2">
        <v>37890686.5</v>
      </c>
    </row>
    <row r="40" spans="1:8" x14ac:dyDescent="0.2">
      <c r="A40" s="5"/>
      <c r="B40" s="1" t="s">
        <v>40</v>
      </c>
      <c r="C40" s="2">
        <v>116662461.26000001</v>
      </c>
      <c r="D40" s="27">
        <v>103671965.14</v>
      </c>
      <c r="E40" s="2">
        <v>97531167.480000004</v>
      </c>
      <c r="F40" s="37">
        <v>90666378.489999995</v>
      </c>
      <c r="G40" s="47">
        <v>49333920.270000003</v>
      </c>
      <c r="H40" s="48">
        <v>35618022.469999999</v>
      </c>
    </row>
    <row r="41" spans="1:8" x14ac:dyDescent="0.2">
      <c r="A41" s="5"/>
      <c r="B41" s="1" t="s">
        <v>41</v>
      </c>
      <c r="C41" s="2">
        <v>107215308.11</v>
      </c>
      <c r="D41" s="27">
        <v>134163014.03</v>
      </c>
      <c r="E41" s="37">
        <v>109350691.39</v>
      </c>
      <c r="F41" s="37">
        <v>88406222.099999994</v>
      </c>
      <c r="G41" s="2">
        <v>52964851.549999997</v>
      </c>
    </row>
    <row r="42" spans="1:8" x14ac:dyDescent="0.2">
      <c r="A42" s="5"/>
      <c r="B42" s="1" t="s">
        <v>42</v>
      </c>
      <c r="D42" s="27">
        <v>56710317.289999999</v>
      </c>
      <c r="E42" s="37">
        <v>51723271.25</v>
      </c>
      <c r="F42" s="37">
        <v>47174780.850000001</v>
      </c>
    </row>
    <row r="43" spans="1:8" x14ac:dyDescent="0.2">
      <c r="A43" s="5"/>
      <c r="B43" s="1" t="s">
        <v>43</v>
      </c>
      <c r="D43" s="27">
        <v>10000000</v>
      </c>
    </row>
    <row r="44" spans="1:8" x14ac:dyDescent="0.2">
      <c r="A44" s="5"/>
      <c r="B44" s="1" t="s">
        <v>44</v>
      </c>
      <c r="C44" s="2">
        <v>2392855.73</v>
      </c>
      <c r="D44" s="27">
        <v>36640186.950000003</v>
      </c>
      <c r="E44" s="2">
        <v>43847197</v>
      </c>
      <c r="F44" s="2">
        <v>66634447.210000001</v>
      </c>
      <c r="G44" s="2">
        <v>83720563.299999997</v>
      </c>
      <c r="H44" s="2">
        <v>35553470.619999997</v>
      </c>
    </row>
    <row r="45" spans="1:8" x14ac:dyDescent="0.2">
      <c r="A45" s="5"/>
      <c r="B45" s="1" t="s">
        <v>45</v>
      </c>
      <c r="C45" s="2">
        <v>943348599.33000004</v>
      </c>
      <c r="D45" s="38">
        <v>612638895.13</v>
      </c>
      <c r="E45" s="37">
        <v>317281371.75999999</v>
      </c>
      <c r="F45" s="37">
        <v>173339835.02000001</v>
      </c>
      <c r="G45" s="37">
        <v>84923225.060000002</v>
      </c>
    </row>
    <row r="46" spans="1:8" x14ac:dyDescent="0.2">
      <c r="A46" s="5"/>
      <c r="B46" s="1" t="s">
        <v>46</v>
      </c>
      <c r="C46" s="2">
        <v>51045635.979999997</v>
      </c>
      <c r="D46" s="27">
        <v>42967086.229999997</v>
      </c>
      <c r="E46" s="2">
        <v>26791198.440000001</v>
      </c>
      <c r="F46" s="2">
        <v>15884781.380000001</v>
      </c>
      <c r="G46" s="2">
        <v>14304414.07</v>
      </c>
      <c r="H46" s="2">
        <v>13147213.810000001</v>
      </c>
    </row>
    <row r="47" spans="1:8" x14ac:dyDescent="0.2">
      <c r="A47" s="5"/>
      <c r="C47" s="2"/>
      <c r="D47" s="27"/>
    </row>
    <row r="48" spans="1:8" x14ac:dyDescent="0.2">
      <c r="A48" s="5" t="s">
        <v>47</v>
      </c>
      <c r="C48" s="9">
        <f t="shared" ref="C48:H48" si="6">SUM(C49:C50)</f>
        <v>95902275.439999998</v>
      </c>
      <c r="D48" s="29">
        <f t="shared" si="6"/>
        <v>36734728.789999999</v>
      </c>
      <c r="E48" s="29">
        <f t="shared" si="6"/>
        <v>65846468.350000001</v>
      </c>
      <c r="F48" s="29">
        <f t="shared" si="6"/>
        <v>39796839.009999998</v>
      </c>
      <c r="G48" s="29">
        <f t="shared" si="6"/>
        <v>0</v>
      </c>
      <c r="H48" s="29">
        <f t="shared" si="6"/>
        <v>0</v>
      </c>
    </row>
    <row r="49" spans="1:8" x14ac:dyDescent="0.2">
      <c r="A49" s="5"/>
      <c r="B49" s="1" t="s">
        <v>48</v>
      </c>
      <c r="C49" s="2">
        <v>95902275.439999998</v>
      </c>
      <c r="D49" s="27">
        <v>36734728.789999999</v>
      </c>
      <c r="E49" s="2">
        <v>65846468.350000001</v>
      </c>
      <c r="F49" s="2">
        <v>39796839.009999998</v>
      </c>
    </row>
    <row r="50" spans="1:8" x14ac:dyDescent="0.2">
      <c r="A50" s="5"/>
      <c r="C50" s="2"/>
      <c r="D50" s="27"/>
    </row>
    <row r="51" spans="1:8" x14ac:dyDescent="0.2">
      <c r="A51" s="5" t="s">
        <v>49</v>
      </c>
      <c r="C51" s="9">
        <f t="shared" ref="C51:H51" si="7">SUM(C52:C53)</f>
        <v>17198900.149999999</v>
      </c>
      <c r="D51" s="29">
        <f t="shared" si="7"/>
        <v>41670797.340000004</v>
      </c>
      <c r="E51" s="29">
        <f t="shared" si="7"/>
        <v>69422847.709999993</v>
      </c>
      <c r="F51" s="29">
        <f t="shared" si="7"/>
        <v>74716362.329999998</v>
      </c>
      <c r="G51" s="29">
        <f t="shared" si="7"/>
        <v>0</v>
      </c>
      <c r="H51" s="29">
        <f t="shared" si="7"/>
        <v>0</v>
      </c>
    </row>
    <row r="52" spans="1:8" x14ac:dyDescent="0.2">
      <c r="A52" s="5"/>
      <c r="B52" s="1" t="s">
        <v>50</v>
      </c>
      <c r="C52" s="2">
        <v>17198900.149999999</v>
      </c>
      <c r="D52" s="27">
        <v>41670797.340000004</v>
      </c>
      <c r="E52" s="2">
        <v>69422847.709999993</v>
      </c>
      <c r="F52" s="2">
        <v>74716362.329999998</v>
      </c>
    </row>
    <row r="53" spans="1:8" x14ac:dyDescent="0.2">
      <c r="A53" s="6"/>
      <c r="D53" s="27"/>
    </row>
    <row r="54" spans="1:8" x14ac:dyDescent="0.2">
      <c r="A54" s="7" t="s">
        <v>51</v>
      </c>
      <c r="C54" s="9">
        <f t="shared" ref="C54:H54" si="8">SUM(C55:C61)</f>
        <v>11436569626.540001</v>
      </c>
      <c r="D54" s="29">
        <f t="shared" si="8"/>
        <v>10019606238.82</v>
      </c>
      <c r="E54" s="29">
        <f t="shared" si="8"/>
        <v>8798390968.0599995</v>
      </c>
      <c r="F54" s="29">
        <f t="shared" si="8"/>
        <v>7780209312.9000015</v>
      </c>
      <c r="G54" s="29">
        <f t="shared" si="8"/>
        <v>6890823277.8900003</v>
      </c>
      <c r="H54" s="29">
        <f t="shared" si="8"/>
        <v>6068580258.4400005</v>
      </c>
    </row>
    <row r="55" spans="1:8" x14ac:dyDescent="0.25">
      <c r="B55" s="1" t="s">
        <v>52</v>
      </c>
      <c r="C55" s="2">
        <v>462525643</v>
      </c>
      <c r="D55" s="27">
        <v>461723327</v>
      </c>
      <c r="E55" s="2">
        <v>461221529</v>
      </c>
      <c r="F55" s="2">
        <v>461000000</v>
      </c>
      <c r="G55" s="2">
        <v>461000000</v>
      </c>
      <c r="H55" s="2">
        <v>461000000</v>
      </c>
    </row>
    <row r="56" spans="1:8" x14ac:dyDescent="0.25">
      <c r="B56" s="1" t="s">
        <v>53</v>
      </c>
      <c r="C56" s="2">
        <v>5440790070.2600002</v>
      </c>
      <c r="D56" s="27">
        <v>5177797385.2399998</v>
      </c>
      <c r="E56" s="2">
        <v>4941641371.2799997</v>
      </c>
      <c r="F56" s="2">
        <v>4747522745.9700003</v>
      </c>
      <c r="G56" s="2">
        <v>4641910463.3000002</v>
      </c>
      <c r="H56" s="2">
        <v>4588252580.5900002</v>
      </c>
    </row>
    <row r="57" spans="1:8" x14ac:dyDescent="0.25">
      <c r="B57" s="1" t="s">
        <v>54</v>
      </c>
      <c r="C57" s="2">
        <v>-100028167.68000001</v>
      </c>
      <c r="D57" s="27"/>
    </row>
    <row r="58" spans="1:8" x14ac:dyDescent="0.25">
      <c r="B58" s="1" t="s">
        <v>55</v>
      </c>
      <c r="C58" s="2">
        <v>19660493.48</v>
      </c>
      <c r="D58" s="27">
        <v>15457652.310000001</v>
      </c>
      <c r="E58" s="2">
        <v>11403623.32</v>
      </c>
      <c r="F58" s="2">
        <v>-4213410.25</v>
      </c>
      <c r="G58" s="2">
        <v>-680613.3</v>
      </c>
      <c r="H58" s="2">
        <v>6492873.1100000003</v>
      </c>
    </row>
    <row r="59" spans="1:8" x14ac:dyDescent="0.25">
      <c r="B59" s="1" t="s">
        <v>56</v>
      </c>
      <c r="C59" s="2">
        <v>231262821.5</v>
      </c>
      <c r="D59" s="27">
        <v>200756553.5</v>
      </c>
      <c r="E59" s="2">
        <v>152973070.31999999</v>
      </c>
      <c r="F59" s="2">
        <v>107031450.02</v>
      </c>
      <c r="G59" s="2">
        <v>71827657.840000004</v>
      </c>
      <c r="H59" s="2">
        <v>59681242.520000003</v>
      </c>
    </row>
    <row r="60" spans="1:8" x14ac:dyDescent="0.25">
      <c r="B60" s="1" t="s">
        <v>57</v>
      </c>
      <c r="C60" s="2">
        <v>5301346699.0500002</v>
      </c>
      <c r="D60" s="27">
        <v>4093062809.6999998</v>
      </c>
      <c r="E60" s="2">
        <v>3157062575.6300001</v>
      </c>
      <c r="F60" s="2">
        <v>2408174713.8899999</v>
      </c>
      <c r="G60" s="2">
        <v>1680848412.0799999</v>
      </c>
      <c r="H60" s="2">
        <v>953153562.22000003</v>
      </c>
    </row>
    <row r="61" spans="1:8" x14ac:dyDescent="0.25">
      <c r="B61" s="1" t="s">
        <v>58</v>
      </c>
      <c r="C61" s="2">
        <v>81012066.930000007</v>
      </c>
      <c r="D61" s="27">
        <v>70808511.069999993</v>
      </c>
      <c r="E61" s="2">
        <v>74088798.510000005</v>
      </c>
      <c r="F61" s="2">
        <v>60693813.270000003</v>
      </c>
      <c r="G61" s="2">
        <v>35917357.969999999</v>
      </c>
    </row>
    <row r="62" spans="1:8" x14ac:dyDescent="0.25">
      <c r="D62" s="27"/>
    </row>
    <row r="63" spans="1:8" x14ac:dyDescent="0.25">
      <c r="B63" s="1" t="s">
        <v>239</v>
      </c>
      <c r="C63" s="62">
        <v>415991268.89999998</v>
      </c>
      <c r="D63" s="62">
        <v>406291755.75999999</v>
      </c>
      <c r="E63" s="62">
        <v>322700000</v>
      </c>
      <c r="F63" s="62"/>
      <c r="G63" s="62">
        <v>276600000</v>
      </c>
      <c r="H63" s="62">
        <v>138300000</v>
      </c>
    </row>
    <row r="64" spans="1:8" x14ac:dyDescent="0.25">
      <c r="C64" s="10">
        <f t="shared" ref="C64:H64" si="9">C54+C33</f>
        <v>15912888756.23</v>
      </c>
      <c r="D64" s="27">
        <f t="shared" si="9"/>
        <v>13974021307.950001</v>
      </c>
      <c r="E64" s="27">
        <f t="shared" si="9"/>
        <v>12057676594.66</v>
      </c>
      <c r="F64" s="27">
        <f t="shared" si="9"/>
        <v>10425669410.850002</v>
      </c>
      <c r="G64" s="27">
        <f t="shared" si="9"/>
        <v>8511586171.3400002</v>
      </c>
      <c r="H64" s="27">
        <f t="shared" si="9"/>
        <v>6843993486.5900002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82E0-06B8-A64C-920B-6B70069753D0}">
  <sheetPr codeName="Sheet2"/>
  <dimension ref="A1:K106"/>
  <sheetViews>
    <sheetView zoomScaleNormal="100" workbookViewId="0">
      <selection activeCell="B15" sqref="B15"/>
    </sheetView>
  </sheetViews>
  <sheetFormatPr defaultColWidth="11" defaultRowHeight="15.75" x14ac:dyDescent="0.25"/>
  <cols>
    <col min="1" max="1" width="33.875" customWidth="1"/>
    <col min="2" max="2" width="19.125" bestFit="1" customWidth="1"/>
    <col min="3" max="3" width="20.375" bestFit="1" customWidth="1"/>
    <col min="4" max="5" width="18.625" bestFit="1" customWidth="1"/>
    <col min="6" max="6" width="20.125" bestFit="1" customWidth="1"/>
    <col min="7" max="7" width="18.625" bestFit="1" customWidth="1"/>
    <col min="8" max="8" width="15" bestFit="1" customWidth="1"/>
    <col min="9" max="9" width="26.875" customWidth="1"/>
  </cols>
  <sheetData>
    <row r="1" spans="1:11" x14ac:dyDescent="0.25">
      <c r="A1" s="23"/>
      <c r="B1" s="33">
        <v>2024</v>
      </c>
      <c r="C1" s="33">
        <v>2023</v>
      </c>
      <c r="D1" s="33">
        <v>2022</v>
      </c>
      <c r="E1" s="33">
        <v>2021</v>
      </c>
      <c r="F1" s="33">
        <v>2020</v>
      </c>
      <c r="G1" s="33">
        <v>2019</v>
      </c>
    </row>
    <row r="2" spans="1:11" x14ac:dyDescent="0.25">
      <c r="A2" s="21" t="s">
        <v>59</v>
      </c>
      <c r="B2" s="34">
        <v>5120838798.8199997</v>
      </c>
      <c r="C2" s="34">
        <v>4555968287.3900003</v>
      </c>
      <c r="D2" s="34">
        <v>3884959481.3800001</v>
      </c>
      <c r="E2" s="34">
        <v>3280058758.0300002</v>
      </c>
      <c r="F2" s="42">
        <v>2260968393.1300001</v>
      </c>
      <c r="G2" s="34">
        <v>1579520610.25</v>
      </c>
      <c r="I2" s="34"/>
    </row>
    <row r="3" spans="1:11" x14ac:dyDescent="0.25">
      <c r="A3" s="22" t="s">
        <v>60</v>
      </c>
      <c r="B3" s="35">
        <v>760761917.89999998</v>
      </c>
      <c r="C3" s="35">
        <v>669840139.17999995</v>
      </c>
      <c r="D3" s="35">
        <v>582910659.40999997</v>
      </c>
      <c r="E3" s="35">
        <v>429352784.13</v>
      </c>
      <c r="F3" s="27">
        <v>278134941.51999998</v>
      </c>
      <c r="G3" s="2">
        <v>227765733.93000001</v>
      </c>
      <c r="I3" s="2"/>
    </row>
    <row r="4" spans="1:11" x14ac:dyDescent="0.25">
      <c r="A4" s="22" t="s">
        <v>61</v>
      </c>
      <c r="B4" s="36">
        <f t="shared" ref="B4:G4" si="0">1-B3/B2</f>
        <v>0.85143802650548128</v>
      </c>
      <c r="C4" s="36">
        <f t="shared" si="0"/>
        <v>0.85297524106258993</v>
      </c>
      <c r="D4" s="36">
        <f t="shared" si="0"/>
        <v>0.84995708135340942</v>
      </c>
      <c r="E4" s="36">
        <f t="shared" si="0"/>
        <v>0.86910210584524139</v>
      </c>
      <c r="F4" s="31">
        <f t="shared" si="0"/>
        <v>0.87698415317740896</v>
      </c>
      <c r="G4" s="31">
        <f t="shared" si="0"/>
        <v>0.85580072051484646</v>
      </c>
      <c r="I4" s="2"/>
      <c r="K4" s="28"/>
    </row>
    <row r="5" spans="1:11" x14ac:dyDescent="0.25">
      <c r="A5" s="22" t="s">
        <v>62</v>
      </c>
      <c r="B5" s="2">
        <v>49170364.82</v>
      </c>
      <c r="C5" s="2">
        <v>37161428.299999997</v>
      </c>
      <c r="D5" s="2">
        <v>34743722.399999999</v>
      </c>
      <c r="E5" s="2">
        <v>35179114.469999999</v>
      </c>
      <c r="F5" s="27">
        <v>22921921.469999999</v>
      </c>
      <c r="G5" s="2">
        <v>15936650.6</v>
      </c>
      <c r="I5" s="2"/>
      <c r="K5" s="28"/>
    </row>
    <row r="6" spans="1:11" x14ac:dyDescent="0.25">
      <c r="A6" s="22" t="s">
        <v>63</v>
      </c>
      <c r="B6" s="2">
        <v>991332533.41999996</v>
      </c>
      <c r="C6" s="2">
        <v>967414538.98000002</v>
      </c>
      <c r="D6" s="2">
        <v>818201662.23000002</v>
      </c>
      <c r="E6" s="2">
        <v>694970174.65999997</v>
      </c>
      <c r="F6" s="27">
        <v>482807656.63</v>
      </c>
      <c r="G6" s="2">
        <v>344738048.44999999</v>
      </c>
      <c r="I6" s="2"/>
      <c r="K6" s="28"/>
    </row>
    <row r="7" spans="1:11" x14ac:dyDescent="0.25">
      <c r="A7" s="22" t="s">
        <v>64</v>
      </c>
      <c r="B7" s="2">
        <v>402662886.67000002</v>
      </c>
      <c r="C7" s="2">
        <v>444227923.50999999</v>
      </c>
      <c r="D7" s="2">
        <v>391903092.19</v>
      </c>
      <c r="E7" s="2">
        <v>326003190.06</v>
      </c>
      <c r="F7" s="27">
        <v>212541090.58000001</v>
      </c>
      <c r="G7" s="2">
        <v>135696496.53999999</v>
      </c>
      <c r="I7" s="2"/>
      <c r="K7" s="28"/>
    </row>
    <row r="8" spans="1:11" x14ac:dyDescent="0.25">
      <c r="A8" s="22" t="s">
        <v>65</v>
      </c>
      <c r="B8" s="2">
        <v>1695556855.45</v>
      </c>
      <c r="C8" s="2">
        <v>1472295820.1400001</v>
      </c>
      <c r="D8" s="2">
        <v>1331210837.24</v>
      </c>
      <c r="E8" s="2">
        <v>1081624964.9400001</v>
      </c>
      <c r="F8" s="27">
        <v>710881894.57000005</v>
      </c>
      <c r="G8" s="2">
        <v>598785660.64999998</v>
      </c>
      <c r="I8" s="2"/>
      <c r="K8" s="28"/>
    </row>
    <row r="9" spans="1:11" x14ac:dyDescent="0.25">
      <c r="A9" s="22" t="s">
        <v>66</v>
      </c>
      <c r="B9" s="2">
        <v>-15949603.41</v>
      </c>
      <c r="C9" s="2">
        <v>-16113383.26</v>
      </c>
      <c r="D9" s="2">
        <v>2060333.17</v>
      </c>
      <c r="E9" s="2">
        <v>-11630384.800000001</v>
      </c>
      <c r="F9" s="27">
        <v>-4182207.52</v>
      </c>
      <c r="G9" s="2">
        <v>-7056972.4400000004</v>
      </c>
      <c r="K9" s="28"/>
    </row>
    <row r="10" spans="1:11" x14ac:dyDescent="0.25">
      <c r="A10" s="22" t="s">
        <v>67</v>
      </c>
      <c r="B10" s="2">
        <v>-8018423.8899999997</v>
      </c>
      <c r="C10" s="2">
        <v>-7155150.2800000003</v>
      </c>
      <c r="D10" s="2">
        <v>-27214230.760000002</v>
      </c>
      <c r="E10" s="2">
        <v>-70419.47</v>
      </c>
      <c r="F10" s="27"/>
      <c r="G10" s="2">
        <v>-31084.2</v>
      </c>
      <c r="I10" s="40"/>
      <c r="K10" s="28"/>
    </row>
    <row r="11" spans="1:11" x14ac:dyDescent="0.25">
      <c r="A11" s="22" t="s">
        <v>68</v>
      </c>
      <c r="B11" s="2">
        <v>181735.73</v>
      </c>
      <c r="C11" s="2">
        <v>5242488.09</v>
      </c>
      <c r="D11" s="2">
        <v>160353.87</v>
      </c>
      <c r="E11" s="2">
        <v>181433.17</v>
      </c>
      <c r="F11" s="27">
        <v>16587.47</v>
      </c>
      <c r="G11" s="2">
        <v>2708.67</v>
      </c>
      <c r="I11" s="2"/>
      <c r="K11" s="28"/>
    </row>
    <row r="12" spans="1:11" x14ac:dyDescent="0.25">
      <c r="A12" s="22" t="s">
        <v>69</v>
      </c>
      <c r="B12" s="2">
        <v>176123077.15000001</v>
      </c>
      <c r="C12" s="2">
        <v>142202996.34999999</v>
      </c>
      <c r="D12" s="2">
        <v>173048027.81999999</v>
      </c>
      <c r="E12" s="2">
        <v>198603883.15000001</v>
      </c>
      <c r="F12" s="41">
        <v>114719419.97</v>
      </c>
      <c r="G12" s="39">
        <v>67353894.480000004</v>
      </c>
      <c r="H12" s="24"/>
      <c r="I12" s="2"/>
    </row>
    <row r="13" spans="1:11" x14ac:dyDescent="0.25">
      <c r="A13" s="22" t="s">
        <v>70</v>
      </c>
      <c r="B13" s="2">
        <v>3918649.74</v>
      </c>
      <c r="C13" s="2">
        <v>1470784.01</v>
      </c>
      <c r="D13" s="2">
        <v>2197939.33</v>
      </c>
      <c r="E13" s="2">
        <v>3618260.56</v>
      </c>
      <c r="F13" s="27">
        <v>807603.11</v>
      </c>
      <c r="G13" s="2"/>
      <c r="I13" s="2"/>
      <c r="K13" s="28"/>
    </row>
    <row r="14" spans="1:11" x14ac:dyDescent="0.25">
      <c r="A14" s="22" t="s">
        <v>71</v>
      </c>
      <c r="B14" s="2">
        <v>-5455007.2800000003</v>
      </c>
      <c r="C14" s="2">
        <v>12211501.880000001</v>
      </c>
      <c r="D14" s="2">
        <v>517546.52</v>
      </c>
      <c r="E14" s="2">
        <v>6203330.6900000004</v>
      </c>
      <c r="F14" s="27">
        <v>318305.78999999998</v>
      </c>
      <c r="G14" s="2">
        <v>-4724895.26</v>
      </c>
      <c r="I14" s="2"/>
      <c r="K14" s="28"/>
    </row>
    <row r="15" spans="1:11" x14ac:dyDescent="0.25">
      <c r="A15" s="12" t="s">
        <v>72</v>
      </c>
      <c r="B15" s="11">
        <f t="shared" ref="B15:G15" si="1">B2-B3-SUM(B5:B8)+SUM(B9:B12)+B13-B14</f>
        <v>1383064683.1599998</v>
      </c>
      <c r="C15" s="11">
        <f t="shared" si="1"/>
        <v>1078464670.3100002</v>
      </c>
      <c r="D15" s="11">
        <f t="shared" si="1"/>
        <v>875724384.82000041</v>
      </c>
      <c r="E15" s="11">
        <f t="shared" si="1"/>
        <v>897427971.68999982</v>
      </c>
      <c r="F15" s="11">
        <f t="shared" si="1"/>
        <v>664723985.60000014</v>
      </c>
      <c r="G15" s="11">
        <f t="shared" si="1"/>
        <v>321591461.8499999</v>
      </c>
      <c r="I15" s="2"/>
      <c r="K15" s="28"/>
    </row>
    <row r="16" spans="1:11" x14ac:dyDescent="0.25">
      <c r="A16" s="22" t="s">
        <v>73</v>
      </c>
      <c r="B16" s="2">
        <f>222158992.8+68762441.84</f>
        <v>290921434.63999999</v>
      </c>
      <c r="C16" s="2">
        <f>136522034.04+48306921.09</f>
        <v>184828955.13</v>
      </c>
      <c r="D16" s="10">
        <f>189331686.85+77913125.38</f>
        <v>267244812.22999999</v>
      </c>
      <c r="E16" s="10">
        <f>179922006.63+144658+39731468.87</f>
        <v>219798133.5</v>
      </c>
      <c r="F16" s="27">
        <f>85884376.34+-17907666.67</f>
        <v>67976709.670000002</v>
      </c>
      <c r="G16" s="2">
        <v>22832600.350000001</v>
      </c>
      <c r="I16" s="10"/>
      <c r="K16" s="10"/>
    </row>
    <row r="17" spans="1:11" x14ac:dyDescent="0.25">
      <c r="A17" s="22" t="s">
        <v>74</v>
      </c>
      <c r="B17" s="2">
        <v>26432907.43</v>
      </c>
      <c r="C17" s="2">
        <v>105006761.01000001</v>
      </c>
      <c r="D17" s="2">
        <v>23567705.539999999</v>
      </c>
      <c r="E17" s="2">
        <v>23972438.43</v>
      </c>
      <c r="F17" s="27">
        <v>10459653.84</v>
      </c>
      <c r="G17" s="2">
        <v>3852556.23</v>
      </c>
      <c r="H17" s="2"/>
      <c r="K17" s="28"/>
    </row>
    <row r="18" spans="1:11" x14ac:dyDescent="0.25">
      <c r="A18" s="22" t="s">
        <v>75</v>
      </c>
      <c r="B18" s="2">
        <f>-14547752.34+-3551325.24</f>
        <v>-18099077.579999998</v>
      </c>
      <c r="C18" s="2">
        <f>6757892.24+-8857233.23</f>
        <v>-2099340.9900000002</v>
      </c>
      <c r="D18" s="2">
        <f>-18984506.87+-5449992.67</f>
        <v>-24434499.539999999</v>
      </c>
      <c r="E18" s="2">
        <f>-1488669.41+-47825.19</f>
        <v>-1536494.5999999999</v>
      </c>
      <c r="F18" s="27">
        <f>115970430.02+2112747.79</f>
        <v>118083177.81</v>
      </c>
      <c r="G18" s="27">
        <f>31977675.53+18277000</f>
        <v>50254675.530000001</v>
      </c>
    </row>
    <row r="19" spans="1:11" x14ac:dyDescent="0.25">
      <c r="A19" s="12" t="s">
        <v>76</v>
      </c>
      <c r="B19" s="9">
        <f t="shared" ref="B19:G19" si="2">SUM(B16:B18)</f>
        <v>299255264.49000001</v>
      </c>
      <c r="C19" s="9">
        <f t="shared" si="2"/>
        <v>287736375.14999998</v>
      </c>
      <c r="D19" s="9">
        <f t="shared" si="2"/>
        <v>266378018.22999999</v>
      </c>
      <c r="E19" s="9">
        <f t="shared" si="2"/>
        <v>242234077.33000001</v>
      </c>
      <c r="F19" s="29">
        <f t="shared" si="2"/>
        <v>196519541.31999999</v>
      </c>
      <c r="G19" s="9">
        <f t="shared" si="2"/>
        <v>76939832.109999999</v>
      </c>
      <c r="H19" s="30"/>
      <c r="K19" s="27"/>
    </row>
    <row r="20" spans="1:11" x14ac:dyDescent="0.25">
      <c r="A20" s="22" t="s">
        <v>77</v>
      </c>
      <c r="B20" s="2">
        <v>79011534.239999995</v>
      </c>
      <c r="C20" s="2">
        <v>34333675.009999998</v>
      </c>
      <c r="D20" s="27">
        <f>72734416.41+-735306.57</f>
        <v>71999109.840000004</v>
      </c>
      <c r="E20" s="27">
        <f>-14617190.94</f>
        <v>-14617190.939999999</v>
      </c>
      <c r="F20" s="27">
        <f>-9056226.29+85244610.72</f>
        <v>76188384.430000007</v>
      </c>
      <c r="G20" s="27">
        <v>8633041.9399999995</v>
      </c>
      <c r="H20" s="27"/>
      <c r="I20" s="34"/>
      <c r="K20" s="28"/>
    </row>
    <row r="21" spans="1:11" x14ac:dyDescent="0.25">
      <c r="A21" s="22" t="s">
        <v>78</v>
      </c>
      <c r="B21" s="2">
        <v>-288123.06</v>
      </c>
      <c r="C21" s="2">
        <v>-527775.07999999996</v>
      </c>
      <c r="D21" s="2">
        <v>-5276061.51</v>
      </c>
      <c r="E21" s="2">
        <v>468650.3</v>
      </c>
      <c r="F21" s="27">
        <v>-519287.32</v>
      </c>
      <c r="G21" s="26">
        <v>41284.67</v>
      </c>
      <c r="H21" s="27"/>
      <c r="I21" s="34"/>
      <c r="K21" s="28"/>
    </row>
    <row r="22" spans="1:11" x14ac:dyDescent="0.25">
      <c r="A22" s="12" t="s">
        <v>79</v>
      </c>
      <c r="B22" s="56">
        <f t="shared" ref="B22:C22" si="3">SUM(B20:B21)</f>
        <v>78723411.179999992</v>
      </c>
      <c r="C22" s="56">
        <f t="shared" si="3"/>
        <v>33805899.93</v>
      </c>
      <c r="D22" s="56">
        <f>SUM(D20:D21)</f>
        <v>66723048.330000006</v>
      </c>
      <c r="E22" s="56">
        <f>SUM(E20:E21)</f>
        <v>-14148540.639999999</v>
      </c>
      <c r="F22" s="56">
        <f>SUM(F20:F21)</f>
        <v>75669097.110000014</v>
      </c>
      <c r="G22" s="56">
        <f>SUM(G20:G21)</f>
        <v>8674326.6099999994</v>
      </c>
      <c r="H22" s="27"/>
      <c r="K22" s="28"/>
    </row>
    <row r="23" spans="1:11" x14ac:dyDescent="0.25">
      <c r="A23" s="12" t="s">
        <v>80</v>
      </c>
      <c r="B23" s="29">
        <f t="shared" ref="B23:D23" si="4">B15+B19+B22</f>
        <v>1761043358.8299999</v>
      </c>
      <c r="C23" s="29">
        <f t="shared" si="4"/>
        <v>1400006945.3900001</v>
      </c>
      <c r="D23" s="29">
        <f t="shared" si="4"/>
        <v>1208825451.3800004</v>
      </c>
      <c r="E23" s="29">
        <f>E15+E19+E22</f>
        <v>1125513508.3799996</v>
      </c>
      <c r="F23" s="29">
        <f>F15+F19+F22</f>
        <v>936912624.03000009</v>
      </c>
      <c r="G23" s="29">
        <f>G15+G19+G22</f>
        <v>407205620.56999993</v>
      </c>
      <c r="H23" s="28"/>
      <c r="I23" s="10"/>
      <c r="K23" s="44"/>
    </row>
    <row r="24" spans="1:11" x14ac:dyDescent="0.25">
      <c r="A24" s="78" t="s">
        <v>244</v>
      </c>
      <c r="B24" s="29"/>
      <c r="C24" s="29"/>
      <c r="D24" s="29"/>
      <c r="E24" s="29"/>
      <c r="F24" s="29"/>
      <c r="G24" s="29"/>
      <c r="H24" s="28"/>
      <c r="I24" s="10"/>
      <c r="K24" s="44"/>
    </row>
    <row r="25" spans="1:11" x14ac:dyDescent="0.25">
      <c r="A25" s="21" t="s">
        <v>81</v>
      </c>
      <c r="B25" s="2">
        <v>10620632.5</v>
      </c>
      <c r="C25" s="2">
        <v>10167473.42</v>
      </c>
      <c r="D25" s="2">
        <f>-(12984610.32-D17)</f>
        <v>10583095.219999999</v>
      </c>
      <c r="E25" s="2">
        <f>-(17169875.92-E17)</f>
        <v>6802562.5099999979</v>
      </c>
      <c r="F25" s="27">
        <f>-(9410173.68-F17)</f>
        <v>1049480.1600000001</v>
      </c>
      <c r="G25" s="2">
        <f>-(3018936.31-G17)</f>
        <v>833619.91999999993</v>
      </c>
      <c r="H25" t="s">
        <v>82</v>
      </c>
      <c r="I25" s="2"/>
      <c r="K25" s="28"/>
    </row>
    <row r="26" spans="1:11" x14ac:dyDescent="0.25">
      <c r="A26" s="12" t="s">
        <v>83</v>
      </c>
      <c r="B26" s="11">
        <f t="shared" ref="B26:G26" si="5">B23-B25</f>
        <v>1750422726.3299999</v>
      </c>
      <c r="C26" s="11">
        <f t="shared" si="5"/>
        <v>1389839471.97</v>
      </c>
      <c r="D26" s="11">
        <f t="shared" si="5"/>
        <v>1198242356.1600003</v>
      </c>
      <c r="E26" s="11">
        <f t="shared" si="5"/>
        <v>1118710945.8699996</v>
      </c>
      <c r="F26" s="29">
        <f t="shared" si="5"/>
        <v>935863143.87000012</v>
      </c>
      <c r="G26" s="11">
        <f t="shared" si="5"/>
        <v>406372000.64999992</v>
      </c>
      <c r="I26" s="2"/>
      <c r="K26" s="44"/>
    </row>
    <row r="27" spans="1:11" x14ac:dyDescent="0.25">
      <c r="A27" s="21" t="s">
        <v>84</v>
      </c>
      <c r="B27" s="2">
        <v>95138661.450000003</v>
      </c>
      <c r="C27" s="2">
        <v>75377800.689999998</v>
      </c>
      <c r="D27" s="2">
        <v>67317888.879999995</v>
      </c>
      <c r="E27" s="2">
        <v>49759283.880000003</v>
      </c>
      <c r="F27" s="27">
        <v>49289324.130000003</v>
      </c>
      <c r="G27" s="2">
        <v>5792795.7199999997</v>
      </c>
      <c r="I27" s="2"/>
    </row>
    <row r="28" spans="1:11" x14ac:dyDescent="0.25">
      <c r="A28" s="12" t="s">
        <v>85</v>
      </c>
      <c r="B28" s="11">
        <f t="shared" ref="B28:G28" si="6">B26-B27</f>
        <v>1655284064.8799999</v>
      </c>
      <c r="C28" s="11">
        <f t="shared" si="6"/>
        <v>1314461671.28</v>
      </c>
      <c r="D28" s="11">
        <f t="shared" si="6"/>
        <v>1130924467.2800002</v>
      </c>
      <c r="E28" s="11">
        <f t="shared" si="6"/>
        <v>1068951661.9899997</v>
      </c>
      <c r="F28" s="29">
        <f t="shared" si="6"/>
        <v>886573819.74000013</v>
      </c>
      <c r="G28" s="11">
        <f t="shared" si="6"/>
        <v>400579204.92999989</v>
      </c>
      <c r="I28" s="10"/>
    </row>
    <row r="29" spans="1:11" x14ac:dyDescent="0.2">
      <c r="A29" s="13" t="s">
        <v>86</v>
      </c>
      <c r="B29" s="2">
        <v>8018423.8899999997</v>
      </c>
      <c r="C29" s="2">
        <v>7155150.2800000003</v>
      </c>
      <c r="D29" s="2">
        <v>27214230.760000002</v>
      </c>
      <c r="E29" s="2">
        <v>70419.47</v>
      </c>
      <c r="F29" s="10"/>
      <c r="G29" s="2">
        <v>31084.2</v>
      </c>
    </row>
    <row r="30" spans="1:11" x14ac:dyDescent="0.2">
      <c r="A30" s="13" t="s">
        <v>87</v>
      </c>
      <c r="B30" s="2">
        <v>15949603.41</v>
      </c>
      <c r="C30" s="2">
        <v>16113383.26</v>
      </c>
      <c r="D30" s="2">
        <v>-2060333.17</v>
      </c>
      <c r="E30" s="2">
        <v>11630384.800000001</v>
      </c>
      <c r="F30" s="2">
        <v>4182207.52</v>
      </c>
      <c r="G30" s="2">
        <v>7056972.4400000004</v>
      </c>
    </row>
    <row r="31" spans="1:11" x14ac:dyDescent="0.2">
      <c r="A31" s="14" t="s">
        <v>88</v>
      </c>
      <c r="B31" s="2">
        <v>44432134.990000002</v>
      </c>
      <c r="C31" s="2">
        <v>46721679.100000001</v>
      </c>
      <c r="D31" s="2">
        <v>50377053.310000002</v>
      </c>
      <c r="E31" s="2">
        <v>44287049.920000002</v>
      </c>
      <c r="F31" s="2">
        <v>35723225.810000002</v>
      </c>
      <c r="G31" s="2">
        <v>24893376.25</v>
      </c>
    </row>
    <row r="32" spans="1:11" x14ac:dyDescent="0.2">
      <c r="A32" s="14" t="s">
        <v>89</v>
      </c>
      <c r="B32" s="2">
        <v>42483263.850000001</v>
      </c>
      <c r="C32" s="2">
        <v>44165518.219999999</v>
      </c>
      <c r="D32" s="2">
        <v>46994618.549999997</v>
      </c>
      <c r="E32" s="2">
        <v>27773694.43</v>
      </c>
    </row>
    <row r="33" spans="1:7" x14ac:dyDescent="0.2">
      <c r="A33" s="14" t="s">
        <v>90</v>
      </c>
      <c r="B33" s="2">
        <v>19446866.25</v>
      </c>
      <c r="C33" s="2">
        <v>24971096.300000001</v>
      </c>
      <c r="D33" s="2">
        <v>25979496.93</v>
      </c>
      <c r="E33" s="2">
        <v>20169463.899999999</v>
      </c>
      <c r="F33" s="2">
        <v>9325331.0800000001</v>
      </c>
      <c r="G33" s="2">
        <v>4511920.1100000003</v>
      </c>
    </row>
    <row r="34" spans="1:7" x14ac:dyDescent="0.2">
      <c r="A34" s="14" t="s">
        <v>91</v>
      </c>
      <c r="B34" s="2">
        <v>8489518.3000000007</v>
      </c>
      <c r="C34" s="2">
        <v>8662878.2100000009</v>
      </c>
      <c r="D34" s="2">
        <v>6996903.7599999998</v>
      </c>
      <c r="E34" s="2">
        <v>3309754.07</v>
      </c>
      <c r="F34" s="2">
        <v>2079507.61</v>
      </c>
      <c r="G34" s="2">
        <v>2731276.56</v>
      </c>
    </row>
    <row r="35" spans="1:7" x14ac:dyDescent="0.2">
      <c r="A35" s="14" t="s">
        <v>92</v>
      </c>
      <c r="B35" s="2">
        <v>-181735.73</v>
      </c>
      <c r="C35" s="2">
        <v>-5242488.09</v>
      </c>
      <c r="D35" s="2">
        <v>-160353.87</v>
      </c>
      <c r="E35" s="2">
        <v>-186023.09</v>
      </c>
      <c r="F35" s="2">
        <v>-16587.47</v>
      </c>
      <c r="G35" s="2">
        <v>-2708.67</v>
      </c>
    </row>
    <row r="36" spans="1:7" x14ac:dyDescent="0.2">
      <c r="A36" s="14" t="s">
        <v>93</v>
      </c>
      <c r="C36" s="2">
        <v>-91442</v>
      </c>
      <c r="D36" s="2">
        <v>-21106.11</v>
      </c>
      <c r="F36" s="2">
        <v>7654.87</v>
      </c>
    </row>
    <row r="37" spans="1:7" x14ac:dyDescent="0.2">
      <c r="A37" s="14" t="s">
        <v>94</v>
      </c>
      <c r="B37" s="2">
        <v>18387200.640000001</v>
      </c>
      <c r="C37" s="2">
        <v>2627116.0699999998</v>
      </c>
      <c r="D37" s="2">
        <v>29710561.050000001</v>
      </c>
      <c r="E37" s="2">
        <v>1067844.3</v>
      </c>
      <c r="F37" s="2">
        <v>-117563890.48999999</v>
      </c>
      <c r="G37" s="2">
        <v>-50295960.200000003</v>
      </c>
    </row>
    <row r="38" spans="1:7" x14ac:dyDescent="0.2">
      <c r="A38" s="14" t="s">
        <v>95</v>
      </c>
      <c r="B38" s="2">
        <v>8664291.3000000007</v>
      </c>
      <c r="C38" s="2">
        <v>9274711.4199999999</v>
      </c>
      <c r="D38" s="2">
        <v>10327234.18</v>
      </c>
      <c r="E38" s="2">
        <v>5917385.2400000002</v>
      </c>
      <c r="F38" s="2">
        <v>773218.68</v>
      </c>
      <c r="G38" s="2">
        <v>626534.81000000006</v>
      </c>
    </row>
    <row r="39" spans="1:7" x14ac:dyDescent="0.2">
      <c r="A39" s="14" t="s">
        <v>96</v>
      </c>
      <c r="B39" s="2">
        <v>-369932968.88</v>
      </c>
      <c r="C39" s="2">
        <v>-219162630.13999999</v>
      </c>
      <c r="D39" s="2">
        <v>-339243922.06999999</v>
      </c>
      <c r="E39" s="2">
        <v>-205180942.56</v>
      </c>
      <c r="F39" s="2">
        <v>-144165094.09999999</v>
      </c>
      <c r="G39" s="2">
        <v>-31465642.289999999</v>
      </c>
    </row>
    <row r="40" spans="1:7" x14ac:dyDescent="0.2">
      <c r="A40" s="14" t="s">
        <v>97</v>
      </c>
      <c r="B40" s="2">
        <v>4344376.5199999996</v>
      </c>
      <c r="C40" s="2">
        <v>-4776914.0999999996</v>
      </c>
      <c r="D40" s="2">
        <v>-2072417.28</v>
      </c>
      <c r="E40" s="2">
        <v>-3274217.83</v>
      </c>
      <c r="F40" s="2">
        <v>-580753.66</v>
      </c>
      <c r="G40" s="2">
        <v>2040618.78</v>
      </c>
    </row>
    <row r="41" spans="1:7" x14ac:dyDescent="0.2">
      <c r="A41" s="14" t="s">
        <v>98</v>
      </c>
      <c r="B41" s="2">
        <v>8078549.75</v>
      </c>
      <c r="C41" s="2">
        <v>5525250.8700000001</v>
      </c>
      <c r="D41" s="2">
        <v>10906417.060000001</v>
      </c>
      <c r="E41" s="2">
        <v>1580367.31</v>
      </c>
      <c r="F41" s="2">
        <v>-5907799.7400000002</v>
      </c>
      <c r="G41" s="2">
        <v>7270295.1500000004</v>
      </c>
    </row>
    <row r="42" spans="1:7" x14ac:dyDescent="0.2">
      <c r="A42" s="14" t="s">
        <v>99</v>
      </c>
      <c r="B42" s="2">
        <v>610750.98</v>
      </c>
      <c r="C42" s="2">
        <v>-233407.07</v>
      </c>
      <c r="D42" s="2">
        <v>1138738.25</v>
      </c>
      <c r="E42" s="2">
        <v>-948759.37</v>
      </c>
      <c r="F42" s="2">
        <v>158617.21</v>
      </c>
      <c r="G42" s="2">
        <v>-454444.39</v>
      </c>
    </row>
    <row r="43" spans="1:7" x14ac:dyDescent="0.2">
      <c r="A43" s="14" t="s">
        <v>100</v>
      </c>
      <c r="B43" s="2">
        <v>15771283.17</v>
      </c>
      <c r="C43" s="2">
        <v>-104254431.89</v>
      </c>
      <c r="D43" s="2">
        <v>-107991252.81999999</v>
      </c>
      <c r="E43" s="2">
        <v>-52507918.939999998</v>
      </c>
      <c r="F43" s="2">
        <v>-29063925.559999999</v>
      </c>
      <c r="G43" s="2">
        <v>-147961187.03</v>
      </c>
    </row>
    <row r="44" spans="1:7" x14ac:dyDescent="0.2">
      <c r="A44" s="14" t="s">
        <v>101</v>
      </c>
      <c r="B44" s="2">
        <v>512789559.10000002</v>
      </c>
      <c r="C44" s="2">
        <v>698893712.88999999</v>
      </c>
      <c r="D44" s="2">
        <v>545369188.34000003</v>
      </c>
      <c r="E44" s="2">
        <v>843979494.64999998</v>
      </c>
      <c r="F44" s="2">
        <v>819314330.29999995</v>
      </c>
      <c r="G44" s="2">
        <v>352524597.67000002</v>
      </c>
    </row>
    <row r="45" spans="1:7" x14ac:dyDescent="0.2">
      <c r="A45" s="14" t="s">
        <v>102</v>
      </c>
      <c r="B45" s="2">
        <v>202938799.50999999</v>
      </c>
      <c r="C45" s="2">
        <v>212736224.69</v>
      </c>
      <c r="D45" s="2">
        <v>168535251.65000001</v>
      </c>
      <c r="E45" s="2">
        <v>97660817.129999995</v>
      </c>
      <c r="F45" s="2">
        <v>53583868.619999997</v>
      </c>
      <c r="G45" s="2">
        <v>13605558.630000001</v>
      </c>
    </row>
    <row r="46" spans="1:7" x14ac:dyDescent="0.25">
      <c r="A46" s="15" t="s">
        <v>103</v>
      </c>
      <c r="B46" s="11">
        <f t="shared" ref="B46:G46" si="7">B28+SUM(B29:B45)</f>
        <v>2195573981.9299998</v>
      </c>
      <c r="C46" s="11">
        <f t="shared" si="7"/>
        <v>2057547079.3</v>
      </c>
      <c r="D46" s="11">
        <f t="shared" si="7"/>
        <v>1602924775.8000002</v>
      </c>
      <c r="E46" s="11">
        <f t="shared" si="7"/>
        <v>1864300475.4199996</v>
      </c>
      <c r="F46" s="11">
        <f t="shared" si="7"/>
        <v>1514423730.4200001</v>
      </c>
      <c r="G46" s="11">
        <f t="shared" si="7"/>
        <v>585691496.94999993</v>
      </c>
    </row>
    <row r="47" spans="1:7" x14ac:dyDescent="0.2">
      <c r="A47" s="13" t="s">
        <v>104</v>
      </c>
      <c r="B47" s="2">
        <v>5947624037.7799997</v>
      </c>
      <c r="C47" s="2">
        <v>5143962717.8299999</v>
      </c>
      <c r="D47" s="2">
        <v>4421860365.5799999</v>
      </c>
      <c r="E47" s="2">
        <v>4167337825.1999998</v>
      </c>
      <c r="F47" s="2">
        <v>2936355063.77</v>
      </c>
      <c r="G47" s="2">
        <v>1791145664.9100001</v>
      </c>
    </row>
    <row r="48" spans="1:7" x14ac:dyDescent="0.2">
      <c r="A48" s="14" t="s">
        <v>105</v>
      </c>
      <c r="B48" s="2">
        <v>109201028.66</v>
      </c>
      <c r="C48" s="2">
        <v>89743358.25</v>
      </c>
      <c r="D48" s="2">
        <v>122155207.97</v>
      </c>
      <c r="E48" s="2">
        <v>150844175.25999999</v>
      </c>
      <c r="F48" s="2">
        <v>80080764.319999993</v>
      </c>
      <c r="G48" s="2">
        <v>41158515.960000001</v>
      </c>
    </row>
    <row r="49" spans="1:7" x14ac:dyDescent="0.2">
      <c r="A49" s="14" t="s">
        <v>106</v>
      </c>
      <c r="B49" s="2">
        <v>71943939.620000005</v>
      </c>
      <c r="C49" s="2">
        <v>147101938.93000001</v>
      </c>
      <c r="D49" s="2">
        <v>71711813.469999999</v>
      </c>
      <c r="E49" s="2">
        <v>91364660.090000004</v>
      </c>
      <c r="F49" s="2">
        <v>113254852.45999999</v>
      </c>
      <c r="G49" s="2">
        <v>72809690.090000004</v>
      </c>
    </row>
    <row r="50" spans="1:7" x14ac:dyDescent="0.2">
      <c r="A50" s="16" t="s">
        <v>107</v>
      </c>
      <c r="B50" s="9">
        <f t="shared" ref="B50:G50" si="8">SUM(B47:B49)</f>
        <v>6128769006.0599995</v>
      </c>
      <c r="C50" s="9">
        <f t="shared" si="8"/>
        <v>5380808015.0100002</v>
      </c>
      <c r="D50" s="9">
        <f t="shared" si="8"/>
        <v>4615727387.0200005</v>
      </c>
      <c r="E50" s="9">
        <f t="shared" si="8"/>
        <v>4409546660.5500002</v>
      </c>
      <c r="F50" s="9">
        <f t="shared" si="8"/>
        <v>3129690680.5500002</v>
      </c>
      <c r="G50" s="9">
        <f t="shared" si="8"/>
        <v>1905113870.96</v>
      </c>
    </row>
    <row r="51" spans="1:7" x14ac:dyDescent="0.2">
      <c r="A51" s="13" t="s">
        <v>108</v>
      </c>
      <c r="B51" s="2">
        <v>1063173929.5</v>
      </c>
      <c r="C51" s="2">
        <v>823570859.35000002</v>
      </c>
      <c r="D51" s="2">
        <v>705842200.88999999</v>
      </c>
      <c r="E51" s="2">
        <v>688646346.62</v>
      </c>
      <c r="F51" s="2">
        <v>481744445.64999998</v>
      </c>
      <c r="G51" s="2">
        <v>413054437.75</v>
      </c>
    </row>
    <row r="52" spans="1:7" x14ac:dyDescent="0.2">
      <c r="A52" s="17" t="s">
        <v>109</v>
      </c>
      <c r="B52" s="2">
        <v>2209411391.6300001</v>
      </c>
      <c r="C52" s="2">
        <v>1966182148.3599999</v>
      </c>
      <c r="D52" s="2">
        <v>1835023534.3099999</v>
      </c>
      <c r="E52" s="2">
        <v>1343755185.53</v>
      </c>
      <c r="F52" s="2">
        <v>858053041.22000003</v>
      </c>
      <c r="G52" s="2">
        <v>725805795.26999998</v>
      </c>
    </row>
    <row r="53" spans="1:7" x14ac:dyDescent="0.2">
      <c r="A53" s="14" t="s">
        <v>110</v>
      </c>
      <c r="B53" s="2">
        <v>496424021.99000001</v>
      </c>
      <c r="C53" s="2">
        <v>380058993.60000002</v>
      </c>
      <c r="D53" s="2">
        <v>373831912.64999998</v>
      </c>
      <c r="E53" s="2">
        <v>402395599.54000002</v>
      </c>
      <c r="F53" s="2">
        <v>170525607.94999999</v>
      </c>
      <c r="G53" s="2">
        <v>122275137.19</v>
      </c>
    </row>
    <row r="54" spans="1:7" x14ac:dyDescent="0.2">
      <c r="A54" s="14" t="s">
        <v>111</v>
      </c>
      <c r="B54" s="2">
        <v>164185681.00999999</v>
      </c>
      <c r="C54" s="2">
        <v>153448934.40000001</v>
      </c>
      <c r="D54" s="2">
        <v>98104963.370000005</v>
      </c>
      <c r="E54" s="2">
        <v>110449053.44</v>
      </c>
      <c r="F54" s="2">
        <v>104943855.31</v>
      </c>
      <c r="G54" s="2">
        <v>58287003.799999997</v>
      </c>
    </row>
    <row r="55" spans="1:7" x14ac:dyDescent="0.2">
      <c r="A55" s="16" t="s">
        <v>112</v>
      </c>
      <c r="B55" s="9">
        <f t="shared" ref="B55:G55" si="9">SUM(B51:B54)</f>
        <v>3933195024.1300001</v>
      </c>
      <c r="C55" s="9">
        <f t="shared" si="9"/>
        <v>3323260935.71</v>
      </c>
      <c r="D55" s="9">
        <f t="shared" si="9"/>
        <v>3012802611.2199998</v>
      </c>
      <c r="E55" s="9">
        <f t="shared" si="9"/>
        <v>2545246185.1300001</v>
      </c>
      <c r="F55" s="9">
        <f t="shared" si="9"/>
        <v>1615266950.1299999</v>
      </c>
      <c r="G55" s="9">
        <f t="shared" si="9"/>
        <v>1319422374.01</v>
      </c>
    </row>
    <row r="56" spans="1:7" x14ac:dyDescent="0.25">
      <c r="A56" s="15" t="s">
        <v>103</v>
      </c>
      <c r="B56" s="11">
        <f t="shared" ref="B56:G56" si="10">B50-B55</f>
        <v>2195573981.9299994</v>
      </c>
      <c r="C56" s="11">
        <f t="shared" si="10"/>
        <v>2057547079.3000002</v>
      </c>
      <c r="D56" s="11">
        <f t="shared" si="10"/>
        <v>1602924775.8000007</v>
      </c>
      <c r="E56" s="11">
        <f t="shared" si="10"/>
        <v>1864300475.4200001</v>
      </c>
      <c r="F56" s="11">
        <f t="shared" si="10"/>
        <v>1514423730.4200003</v>
      </c>
      <c r="G56" s="11">
        <f t="shared" si="10"/>
        <v>585691496.95000005</v>
      </c>
    </row>
    <row r="57" spans="1:7" x14ac:dyDescent="0.25">
      <c r="A57" s="18"/>
    </row>
    <row r="58" spans="1:7" x14ac:dyDescent="0.2">
      <c r="A58" s="13" t="s">
        <v>113</v>
      </c>
      <c r="B58" s="2">
        <v>12848891912.969999</v>
      </c>
      <c r="C58" s="2">
        <v>9522677227.3500004</v>
      </c>
      <c r="D58" s="2">
        <v>19612334700</v>
      </c>
      <c r="E58" s="2">
        <v>13388740000</v>
      </c>
      <c r="F58" s="2">
        <v>16384717320</v>
      </c>
      <c r="G58" s="2">
        <v>4546910000</v>
      </c>
    </row>
    <row r="59" spans="1:7" x14ac:dyDescent="0.2">
      <c r="A59" s="14" t="s">
        <v>114</v>
      </c>
      <c r="B59" s="2">
        <v>261862557.27000001</v>
      </c>
      <c r="C59" s="2">
        <v>126817817.83</v>
      </c>
      <c r="D59" s="2">
        <v>228120224.84999999</v>
      </c>
      <c r="E59" s="2">
        <v>206894489.61000001</v>
      </c>
      <c r="F59" s="2">
        <v>197683664.61000001</v>
      </c>
      <c r="G59" s="2">
        <v>45212011.899999999</v>
      </c>
    </row>
    <row r="60" spans="1:7" ht="24" x14ac:dyDescent="0.2">
      <c r="A60" s="17" t="s">
        <v>115</v>
      </c>
      <c r="B60" s="2">
        <v>370986.17</v>
      </c>
      <c r="C60" s="2">
        <v>312398.62</v>
      </c>
      <c r="D60" s="2">
        <v>69447.14</v>
      </c>
      <c r="E60" s="2">
        <v>137561.06</v>
      </c>
      <c r="F60" s="2">
        <v>188282.97</v>
      </c>
      <c r="G60" s="2">
        <v>3067.85</v>
      </c>
    </row>
    <row r="61" spans="1:7" x14ac:dyDescent="0.2">
      <c r="A61" s="17" t="s">
        <v>116</v>
      </c>
    </row>
    <row r="62" spans="1:7" x14ac:dyDescent="0.2">
      <c r="A62" s="17" t="s">
        <v>117</v>
      </c>
      <c r="D62" s="2">
        <v>6091175.9900000002</v>
      </c>
    </row>
    <row r="63" spans="1:7" x14ac:dyDescent="0.2">
      <c r="A63" s="16" t="s">
        <v>118</v>
      </c>
      <c r="B63" s="9">
        <f t="shared" ref="B63:G63" si="11">SUM(B58:B62)</f>
        <v>13111125456.41</v>
      </c>
      <c r="C63" s="9">
        <f t="shared" si="11"/>
        <v>9649807443.8000011</v>
      </c>
      <c r="D63" s="9">
        <f t="shared" si="11"/>
        <v>19846615547.98</v>
      </c>
      <c r="E63" s="9">
        <f t="shared" si="11"/>
        <v>13595772050.67</v>
      </c>
      <c r="F63" s="9">
        <f t="shared" si="11"/>
        <v>16582589267.58</v>
      </c>
      <c r="G63" s="9">
        <f t="shared" si="11"/>
        <v>4592125079.75</v>
      </c>
    </row>
    <row r="64" spans="1:7" ht="24" x14ac:dyDescent="0.2">
      <c r="A64" s="19" t="s">
        <v>119</v>
      </c>
      <c r="B64" s="2">
        <v>174991782.06999999</v>
      </c>
      <c r="C64" s="2">
        <v>165848375.21000001</v>
      </c>
      <c r="D64" s="2">
        <v>175961847.84</v>
      </c>
      <c r="E64" s="2">
        <v>148845814.72</v>
      </c>
      <c r="F64" s="2">
        <v>55277440.82</v>
      </c>
      <c r="G64" s="2">
        <v>63210239.469999999</v>
      </c>
    </row>
    <row r="65" spans="1:7" x14ac:dyDescent="0.2">
      <c r="A65" s="14" t="s">
        <v>120</v>
      </c>
      <c r="B65" s="2">
        <v>17210218813.98</v>
      </c>
      <c r="C65" s="2">
        <v>14693877443.709999</v>
      </c>
      <c r="D65" s="2">
        <v>15167917083.780001</v>
      </c>
      <c r="E65" s="2">
        <v>14810832000</v>
      </c>
      <c r="F65" s="2">
        <v>17495762400</v>
      </c>
      <c r="G65" s="2">
        <v>9002540000</v>
      </c>
    </row>
    <row r="66" spans="1:7" x14ac:dyDescent="0.2">
      <c r="A66" s="14" t="s">
        <v>121</v>
      </c>
      <c r="D66" s="2">
        <v>863547.87</v>
      </c>
      <c r="G66">
        <v>1.99</v>
      </c>
    </row>
    <row r="67" spans="1:7" x14ac:dyDescent="0.2">
      <c r="A67" s="14" t="s">
        <v>122</v>
      </c>
      <c r="D67" s="2"/>
      <c r="F67" s="2">
        <v>147866823.22999999</v>
      </c>
    </row>
    <row r="68" spans="1:7" x14ac:dyDescent="0.2">
      <c r="A68" s="16" t="s">
        <v>123</v>
      </c>
      <c r="B68" s="9">
        <f t="shared" ref="B68:G68" si="12">SUM(B64:B67)</f>
        <v>17385210596.049999</v>
      </c>
      <c r="C68" s="9">
        <f t="shared" si="12"/>
        <v>14859725818.919998</v>
      </c>
      <c r="D68" s="9">
        <f t="shared" si="12"/>
        <v>15344742479.490002</v>
      </c>
      <c r="E68" s="9">
        <f t="shared" si="12"/>
        <v>14959677814.719999</v>
      </c>
      <c r="F68" s="9">
        <f t="shared" si="12"/>
        <v>17698906664.049999</v>
      </c>
      <c r="G68" s="9">
        <f t="shared" si="12"/>
        <v>9065750241.4599991</v>
      </c>
    </row>
    <row r="69" spans="1:7" x14ac:dyDescent="0.2">
      <c r="A69" s="6" t="s">
        <v>124</v>
      </c>
      <c r="B69" s="11">
        <f t="shared" ref="B69:G69" si="13">B63-B68</f>
        <v>-4274085139.6399994</v>
      </c>
      <c r="C69" s="11">
        <f t="shared" si="13"/>
        <v>-5209918375.119997</v>
      </c>
      <c r="D69" s="11">
        <f t="shared" si="13"/>
        <v>4501873068.4899979</v>
      </c>
      <c r="E69" s="11">
        <f t="shared" si="13"/>
        <v>-1363905764.0499992</v>
      </c>
      <c r="F69" s="11">
        <f t="shared" si="13"/>
        <v>-1116317396.4699993</v>
      </c>
      <c r="G69" s="11">
        <f t="shared" si="13"/>
        <v>-4473625161.7099991</v>
      </c>
    </row>
    <row r="70" spans="1:7" x14ac:dyDescent="0.25">
      <c r="A70" s="18"/>
    </row>
    <row r="71" spans="1:7" x14ac:dyDescent="0.2">
      <c r="A71" s="13" t="s">
        <v>125</v>
      </c>
      <c r="B71" s="2">
        <v>62051860.539999999</v>
      </c>
      <c r="C71" s="2">
        <v>21919278.989999998</v>
      </c>
      <c r="D71" s="2">
        <v>9871332.2400000002</v>
      </c>
      <c r="G71" s="2">
        <v>4481541400</v>
      </c>
    </row>
    <row r="72" spans="1:7" x14ac:dyDescent="0.2">
      <c r="A72" s="13" t="s">
        <v>126</v>
      </c>
    </row>
    <row r="73" spans="1:7" x14ac:dyDescent="0.2">
      <c r="A73" s="19" t="s">
        <v>127</v>
      </c>
      <c r="B73" s="2">
        <v>2000000</v>
      </c>
      <c r="C73" s="2">
        <v>2000000</v>
      </c>
      <c r="D73" s="2">
        <v>1958124</v>
      </c>
      <c r="E73" s="2">
        <v>52000000</v>
      </c>
      <c r="F73" s="2">
        <v>2000000</v>
      </c>
    </row>
    <row r="74" spans="1:7" x14ac:dyDescent="0.2">
      <c r="A74" s="20" t="s">
        <v>128</v>
      </c>
      <c r="B74" s="9">
        <f t="shared" ref="B74:G74" si="14">SUM(B71:B73)</f>
        <v>64051860.539999999</v>
      </c>
      <c r="C74" s="9">
        <f t="shared" si="14"/>
        <v>23919278.989999998</v>
      </c>
      <c r="D74" s="9">
        <f t="shared" si="14"/>
        <v>11829456.24</v>
      </c>
      <c r="E74" s="9">
        <f t="shared" si="14"/>
        <v>52000000</v>
      </c>
      <c r="F74" s="9">
        <f t="shared" si="14"/>
        <v>2000000</v>
      </c>
      <c r="G74" s="9">
        <f t="shared" si="14"/>
        <v>4481541400</v>
      </c>
    </row>
    <row r="75" spans="1:7" x14ac:dyDescent="0.2">
      <c r="A75" s="14" t="s">
        <v>129</v>
      </c>
    </row>
    <row r="76" spans="1:7" x14ac:dyDescent="0.2">
      <c r="A76" s="14" t="s">
        <v>130</v>
      </c>
      <c r="B76" s="2">
        <v>406290351.67000002</v>
      </c>
      <c r="C76" s="2">
        <v>336726294.76999998</v>
      </c>
      <c r="D76" s="2">
        <v>322700000</v>
      </c>
      <c r="E76" s="2">
        <v>276600000</v>
      </c>
      <c r="F76" s="2">
        <v>138300000</v>
      </c>
    </row>
    <row r="77" spans="1:7" x14ac:dyDescent="0.2">
      <c r="A77" s="14" t="s">
        <v>131</v>
      </c>
      <c r="B77" s="2">
        <v>158339353.08000001</v>
      </c>
      <c r="C77" s="2">
        <v>71729186.909999996</v>
      </c>
      <c r="D77" s="2">
        <v>43478900.689999998</v>
      </c>
      <c r="E77" s="2">
        <v>22733040.969999999</v>
      </c>
      <c r="F77" s="2">
        <v>5062704</v>
      </c>
      <c r="G77" s="2">
        <v>32486116</v>
      </c>
    </row>
    <row r="78" spans="1:7" x14ac:dyDescent="0.2">
      <c r="A78" s="16" t="s">
        <v>132</v>
      </c>
      <c r="B78" s="29">
        <f t="shared" ref="B78:G78" si="15">SUM(B75:B77)</f>
        <v>564629704.75</v>
      </c>
      <c r="C78" s="29">
        <f t="shared" si="15"/>
        <v>408455481.67999995</v>
      </c>
      <c r="D78" s="29">
        <f t="shared" si="15"/>
        <v>366178900.69</v>
      </c>
      <c r="E78" s="29">
        <f t="shared" si="15"/>
        <v>299333040.97000003</v>
      </c>
      <c r="F78" s="29">
        <f t="shared" si="15"/>
        <v>143362704</v>
      </c>
      <c r="G78" s="29">
        <f t="shared" si="15"/>
        <v>32486116</v>
      </c>
    </row>
    <row r="79" spans="1:7" x14ac:dyDescent="0.2">
      <c r="A79" s="7" t="s">
        <v>133</v>
      </c>
      <c r="B79" s="43">
        <f t="shared" ref="B79:G79" si="16">B74-B78</f>
        <v>-500577844.20999998</v>
      </c>
      <c r="C79" s="43">
        <f t="shared" si="16"/>
        <v>-384536202.68999994</v>
      </c>
      <c r="D79" s="43">
        <f t="shared" si="16"/>
        <v>-354349444.44999999</v>
      </c>
      <c r="E79" s="43">
        <f t="shared" si="16"/>
        <v>-247333040.97000003</v>
      </c>
      <c r="F79" s="43">
        <f t="shared" si="16"/>
        <v>-141362704</v>
      </c>
      <c r="G79" s="43">
        <f t="shared" si="16"/>
        <v>4449055284</v>
      </c>
    </row>
    <row r="83" spans="1:7" x14ac:dyDescent="0.25">
      <c r="A83" s="8" t="s">
        <v>134</v>
      </c>
      <c r="B83" s="27">
        <f t="shared" ref="B83:G83" si="17">B28</f>
        <v>1655284064.8799999</v>
      </c>
      <c r="C83" s="27">
        <f t="shared" si="17"/>
        <v>1314461671.28</v>
      </c>
      <c r="D83" s="27">
        <f t="shared" si="17"/>
        <v>1130924467.2800002</v>
      </c>
      <c r="E83" s="27">
        <f t="shared" si="17"/>
        <v>1068951661.9899997</v>
      </c>
      <c r="F83" s="27">
        <f t="shared" si="17"/>
        <v>886573819.74000013</v>
      </c>
      <c r="G83" s="27">
        <f t="shared" si="17"/>
        <v>400579204.92999989</v>
      </c>
    </row>
    <row r="84" spans="1:7" x14ac:dyDescent="0.25">
      <c r="A84" s="8" t="s">
        <v>135</v>
      </c>
      <c r="B84" s="27">
        <f t="shared" ref="B84:G84" si="18">B2-B3</f>
        <v>4360076880.9200001</v>
      </c>
      <c r="C84" s="27">
        <f t="shared" si="18"/>
        <v>3886128148.2100005</v>
      </c>
      <c r="D84" s="27">
        <f t="shared" si="18"/>
        <v>3302048821.9700003</v>
      </c>
      <c r="E84" s="27">
        <f t="shared" si="18"/>
        <v>2850705973.9000001</v>
      </c>
      <c r="F84" s="27">
        <f t="shared" si="18"/>
        <v>1982833451.6100001</v>
      </c>
      <c r="G84" s="27">
        <f t="shared" si="18"/>
        <v>1351754876.3199999</v>
      </c>
    </row>
    <row r="85" spans="1:7" x14ac:dyDescent="0.25">
      <c r="A85" s="8" t="s">
        <v>136</v>
      </c>
      <c r="B85" s="27">
        <f t="shared" ref="B85:G85" si="19">B2</f>
        <v>5120838798.8199997</v>
      </c>
      <c r="C85" s="27">
        <f t="shared" si="19"/>
        <v>4555968287.3900003</v>
      </c>
      <c r="D85" s="27">
        <f t="shared" si="19"/>
        <v>3884959481.3800001</v>
      </c>
      <c r="E85" s="27">
        <f t="shared" si="19"/>
        <v>3280058758.0300002</v>
      </c>
      <c r="F85" s="27">
        <f t="shared" si="19"/>
        <v>2260968393.1300001</v>
      </c>
      <c r="G85" s="27">
        <f t="shared" si="19"/>
        <v>1579520610.25</v>
      </c>
    </row>
    <row r="86" spans="1:7" x14ac:dyDescent="0.25">
      <c r="A86" s="8" t="s">
        <v>137</v>
      </c>
      <c r="B86" s="27">
        <f t="shared" ref="B86:G86" si="20">B56-B64</f>
        <v>2020582199.8599994</v>
      </c>
      <c r="C86" s="27">
        <f t="shared" si="20"/>
        <v>1891698704.0900002</v>
      </c>
      <c r="D86" s="27">
        <f t="shared" si="20"/>
        <v>1426962927.9600008</v>
      </c>
      <c r="E86" s="27">
        <f t="shared" si="20"/>
        <v>1715454660.7</v>
      </c>
      <c r="F86" s="27">
        <f t="shared" si="20"/>
        <v>1459146289.6000004</v>
      </c>
      <c r="G86" s="27">
        <f t="shared" si="20"/>
        <v>522481257.48000002</v>
      </c>
    </row>
    <row r="87" spans="1:7" x14ac:dyDescent="0.25">
      <c r="A87" s="8" t="s">
        <v>138</v>
      </c>
      <c r="B87" s="27">
        <f>balance!C55</f>
        <v>462525643</v>
      </c>
      <c r="C87" s="27">
        <f>balance!D55</f>
        <v>461723327</v>
      </c>
      <c r="D87" s="27">
        <f>balance!E55</f>
        <v>461221529</v>
      </c>
      <c r="E87" s="27">
        <f>balance!F55</f>
        <v>461000000</v>
      </c>
      <c r="F87" s="27">
        <f>balance!G55</f>
        <v>461000000</v>
      </c>
      <c r="G87" s="27">
        <f>balance!H55</f>
        <v>461000000</v>
      </c>
    </row>
    <row r="88" spans="1:7" x14ac:dyDescent="0.25">
      <c r="A88" s="8" t="s">
        <v>139</v>
      </c>
      <c r="B88" s="32">
        <f t="shared" ref="B88:G88" si="21">B83/B87</f>
        <v>3.5787941488900321</v>
      </c>
      <c r="C88" s="32">
        <f t="shared" si="21"/>
        <v>2.8468600012491896</v>
      </c>
      <c r="D88" s="32">
        <f t="shared" si="21"/>
        <v>2.4520201165197566</v>
      </c>
      <c r="E88" s="32">
        <f t="shared" si="21"/>
        <v>2.3187671626681121</v>
      </c>
      <c r="F88" s="32">
        <f t="shared" si="21"/>
        <v>1.923153621995662</v>
      </c>
      <c r="G88" s="32">
        <f t="shared" si="21"/>
        <v>0.86893536861171339</v>
      </c>
    </row>
    <row r="89" spans="1:7" x14ac:dyDescent="0.25">
      <c r="B89" s="27"/>
    </row>
    <row r="91" spans="1:7" x14ac:dyDescent="0.25">
      <c r="A91" s="8" t="s">
        <v>140</v>
      </c>
      <c r="B91" s="28">
        <f>(balance!C54+balance!D54)/2</f>
        <v>10728087932.68</v>
      </c>
      <c r="C91" s="28">
        <f>(balance!D54+balance!E54)/2</f>
        <v>9408998603.4399986</v>
      </c>
      <c r="D91" s="28">
        <f>(balance!E54+balance!F54)/2</f>
        <v>8289300140.4800005</v>
      </c>
      <c r="E91" s="28">
        <f>(balance!F54+balance!G54)/2</f>
        <v>7335516295.3950005</v>
      </c>
      <c r="F91" s="28">
        <f>(balance!G54+balance!H54)/2</f>
        <v>6479701768.1650009</v>
      </c>
    </row>
    <row r="92" spans="1:7" x14ac:dyDescent="0.25">
      <c r="A92" s="8" t="s">
        <v>141</v>
      </c>
      <c r="B92" s="28">
        <f>(balance!C2+balance!D2)/2</f>
        <v>14943455032.09</v>
      </c>
      <c r="C92" s="28">
        <f>(balance!D2+balance!E2)/2</f>
        <v>13015848951.305</v>
      </c>
      <c r="D92" s="28">
        <f>(balance!E2+balance!F2)/2</f>
        <v>11241673002.754999</v>
      </c>
      <c r="E92" s="28">
        <f>(balance!F2+balance!G2)/2</f>
        <v>9468627791.0950012</v>
      </c>
      <c r="F92" s="28">
        <f>(balance!G2+balance!H2)/2</f>
        <v>7677789828.9650002</v>
      </c>
    </row>
    <row r="93" spans="1:7" x14ac:dyDescent="0.25">
      <c r="A93" s="8" t="s">
        <v>142</v>
      </c>
      <c r="B93" s="31">
        <f>B83/B91</f>
        <v>0.15429441623401113</v>
      </c>
      <c r="C93" s="31">
        <f>C83/C91</f>
        <v>0.13970261094516723</v>
      </c>
      <c r="D93" s="31">
        <f>D83/D91</f>
        <v>0.1364318396142081</v>
      </c>
      <c r="E93" s="31">
        <f>E83/E91</f>
        <v>0.1457227574644</v>
      </c>
      <c r="F93" s="31">
        <f>F83/F91</f>
        <v>0.13682324456594097</v>
      </c>
    </row>
    <row r="94" spans="1:7" x14ac:dyDescent="0.25">
      <c r="A94" s="8" t="s">
        <v>143</v>
      </c>
      <c r="B94" s="31">
        <f>B83/B85</f>
        <v>0.32324471242122066</v>
      </c>
      <c r="C94" s="31">
        <f>C83/C85</f>
        <v>0.28851422757225159</v>
      </c>
      <c r="D94" s="31">
        <f>D83/D85</f>
        <v>0.29110328504076899</v>
      </c>
      <c r="E94" s="31">
        <f>E83/E85</f>
        <v>0.32589405887107059</v>
      </c>
      <c r="F94" s="31">
        <f>F83/F85</f>
        <v>0.39212127972857702</v>
      </c>
    </row>
    <row r="95" spans="1:7" x14ac:dyDescent="0.25">
      <c r="A95" s="8" t="s">
        <v>144</v>
      </c>
      <c r="B95" s="32">
        <f>B85/B92</f>
        <v>0.34268104583734921</v>
      </c>
      <c r="C95" s="32">
        <f>C85/C92</f>
        <v>0.35003235704676861</v>
      </c>
      <c r="D95" s="32">
        <f>D85/D92</f>
        <v>0.34558552632049627</v>
      </c>
      <c r="E95" s="32">
        <f>E85/E92</f>
        <v>0.34641331673368875</v>
      </c>
      <c r="F95" s="32">
        <f>F85/F92</f>
        <v>0.29448167291586158</v>
      </c>
    </row>
    <row r="96" spans="1:7" x14ac:dyDescent="0.25">
      <c r="A96" s="8" t="s">
        <v>145</v>
      </c>
      <c r="B96" s="32">
        <f>B92/B91</f>
        <v>1.3929280898760263</v>
      </c>
      <c r="C96" s="32">
        <f>C92/C91</f>
        <v>1.3833405126180283</v>
      </c>
      <c r="D96" s="32">
        <f>D92/D91</f>
        <v>1.356166722430205</v>
      </c>
      <c r="E96" s="32">
        <f>E92/E91</f>
        <v>1.2907922782530112</v>
      </c>
      <c r="F96" s="32">
        <f>F92/F91</f>
        <v>1.1848986425094821</v>
      </c>
    </row>
    <row r="98" spans="1:6" x14ac:dyDescent="0.25">
      <c r="A98" s="8" t="s">
        <v>146</v>
      </c>
      <c r="B98" s="31">
        <f>B27/B26</f>
        <v>5.4351820288274698E-2</v>
      </c>
      <c r="C98" s="31">
        <f>C27/C26</f>
        <v>5.4234897058404341E-2</v>
      </c>
      <c r="D98" s="31">
        <f>D27/D26</f>
        <v>5.6180528533253664E-2</v>
      </c>
      <c r="E98" s="31">
        <f>E27/E26</f>
        <v>4.4479124892537081E-2</v>
      </c>
      <c r="F98" s="31">
        <f>F27/F26</f>
        <v>5.2667235004231275E-2</v>
      </c>
    </row>
    <row r="99" spans="1:6" x14ac:dyDescent="0.25">
      <c r="A99" s="8" t="s">
        <v>147</v>
      </c>
      <c r="B99" s="10">
        <f>B2-B3-SUM(B5:B9)</f>
        <v>1237303843.9699998</v>
      </c>
      <c r="C99" s="10">
        <f>C2-C3-SUM(C5:C9)</f>
        <v>981141820.54000044</v>
      </c>
      <c r="D99" s="10">
        <f>D2-D3-SUM(D5:D9)</f>
        <v>723929174.74000025</v>
      </c>
      <c r="E99" s="10">
        <f>E2-E3-SUM(E5:E9)</f>
        <v>724558914.56999993</v>
      </c>
      <c r="F99" s="10">
        <f>F2-F3-SUM(F5:F9)</f>
        <v>557863095.88000011</v>
      </c>
    </row>
    <row r="100" spans="1:6" x14ac:dyDescent="0.25">
      <c r="A100" s="8" t="s">
        <v>148</v>
      </c>
      <c r="B100" s="10">
        <f>(balance!C48+balance!D48+balance!C51+balance!D51)/2</f>
        <v>95753350.859999999</v>
      </c>
      <c r="C100" s="10">
        <f>(balance!D48+balance!E48+balance!D51+balance!E51)/2</f>
        <v>106837421.095</v>
      </c>
      <c r="D100" s="10">
        <f>(balance!E48+balance!F48+balance!E51+balance!F51)/2</f>
        <v>124891258.69999999</v>
      </c>
      <c r="E100" s="10">
        <f>(balance!F48+balance!G48+balance!F51+balance!G51)/2</f>
        <v>57256600.670000002</v>
      </c>
      <c r="F100" s="10">
        <f>(balance!G48+balance!H48+balance!G51+balance!H51)/2</f>
        <v>0</v>
      </c>
    </row>
    <row r="101" spans="1:6" x14ac:dyDescent="0.25">
      <c r="A101" s="8" t="s">
        <v>149</v>
      </c>
      <c r="B101" s="28">
        <f>B100+B92</f>
        <v>15039208382.950001</v>
      </c>
      <c r="C101" s="28">
        <f t="shared" ref="C101:F101" si="22">C100+C92</f>
        <v>13122686372.4</v>
      </c>
      <c r="D101" s="28">
        <f t="shared" si="22"/>
        <v>11366564261.455</v>
      </c>
      <c r="E101" s="28">
        <f t="shared" si="22"/>
        <v>9525884391.7650013</v>
      </c>
      <c r="F101" s="28">
        <f t="shared" si="22"/>
        <v>7677789828.9650002</v>
      </c>
    </row>
    <row r="102" spans="1:6" x14ac:dyDescent="0.25">
      <c r="A102" s="8" t="s">
        <v>150</v>
      </c>
      <c r="B102" s="31">
        <f>B99*(1-B98)/B101</f>
        <v>7.7800247061344335E-2</v>
      </c>
      <c r="C102" s="31">
        <f>C99*(1-C98)/C101</f>
        <v>7.0711870159067866E-2</v>
      </c>
      <c r="D102" s="31">
        <f>D99*(1-D98)/D101</f>
        <v>6.011125572917872E-2</v>
      </c>
      <c r="E102" s="31">
        <f>E99*(1-E98)/E101</f>
        <v>7.2678938736160895E-2</v>
      </c>
      <c r="F102" s="31">
        <f>F99*(1-F98)/F101</f>
        <v>6.8832567819890667E-2</v>
      </c>
    </row>
    <row r="106" spans="1:6" x14ac:dyDescent="0.25">
      <c r="B106" s="31"/>
      <c r="C106" s="31"/>
      <c r="D106" s="31"/>
      <c r="E106" s="31"/>
      <c r="F106" s="3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E041-193F-2440-A1BD-85977BA16A30}">
  <sheetPr codeName="Sheet4"/>
  <dimension ref="A1:G24"/>
  <sheetViews>
    <sheetView workbookViewId="0">
      <selection activeCell="A9" sqref="A9"/>
    </sheetView>
  </sheetViews>
  <sheetFormatPr defaultColWidth="11" defaultRowHeight="15.75" x14ac:dyDescent="0.25"/>
  <cols>
    <col min="1" max="1" width="17.5" style="18" customWidth="1"/>
    <col min="2" max="5" width="16.375" bestFit="1" customWidth="1"/>
    <col min="6" max="6" width="16.5" bestFit="1" customWidth="1"/>
    <col min="7" max="7" width="14.625" bestFit="1" customWidth="1"/>
  </cols>
  <sheetData>
    <row r="1" spans="1:7" x14ac:dyDescent="0.2">
      <c r="A1" s="49" t="s">
        <v>154</v>
      </c>
    </row>
    <row r="2" spans="1:7" x14ac:dyDescent="0.25">
      <c r="B2" s="49" t="s">
        <v>155</v>
      </c>
      <c r="C2" s="49" t="s">
        <v>156</v>
      </c>
      <c r="D2" s="49" t="s">
        <v>157</v>
      </c>
      <c r="E2" s="49" t="s">
        <v>158</v>
      </c>
      <c r="F2" s="49" t="s">
        <v>159</v>
      </c>
      <c r="G2" s="49" t="s">
        <v>160</v>
      </c>
    </row>
    <row r="3" spans="1:7" x14ac:dyDescent="0.25">
      <c r="A3" s="18" t="s">
        <v>161</v>
      </c>
    </row>
    <row r="4" spans="1:7" x14ac:dyDescent="0.25">
      <c r="A4" s="50" t="s">
        <v>162</v>
      </c>
      <c r="B4" s="2">
        <v>5309651.74</v>
      </c>
      <c r="C4" s="2">
        <v>2080000</v>
      </c>
      <c r="D4" s="2">
        <v>3447750</v>
      </c>
      <c r="E4" s="2">
        <v>3667000</v>
      </c>
      <c r="F4" s="2">
        <v>2340900</v>
      </c>
      <c r="G4" s="2">
        <v>2086153.85</v>
      </c>
    </row>
    <row r="5" spans="1:7" x14ac:dyDescent="0.25">
      <c r="A5" s="50" t="s">
        <v>163</v>
      </c>
      <c r="B5" s="2">
        <v>556275507.23000002</v>
      </c>
      <c r="C5" s="2">
        <v>603473180.91999996</v>
      </c>
      <c r="D5" s="2">
        <v>517160329.14999998</v>
      </c>
      <c r="E5" s="2">
        <v>438204369.23000002</v>
      </c>
      <c r="F5" s="2">
        <v>413204459.68000001</v>
      </c>
      <c r="G5" s="53">
        <v>358072007.43000001</v>
      </c>
    </row>
    <row r="6" spans="1:7" x14ac:dyDescent="0.25">
      <c r="A6" s="50" t="s">
        <v>164</v>
      </c>
      <c r="B6" s="2">
        <v>69650288.030000001</v>
      </c>
      <c r="C6" s="2">
        <v>49547644.579999998</v>
      </c>
      <c r="D6" s="2">
        <v>27086472.300000001</v>
      </c>
      <c r="E6" s="2">
        <v>36082150.159999996</v>
      </c>
      <c r="F6" s="2">
        <v>41018314.869999997</v>
      </c>
      <c r="G6" s="2">
        <v>25502705.719999999</v>
      </c>
    </row>
    <row r="7" spans="1:7" x14ac:dyDescent="0.25">
      <c r="A7" s="50" t="s">
        <v>165</v>
      </c>
      <c r="B7" s="2">
        <v>484618.8</v>
      </c>
      <c r="C7" s="2">
        <v>1922161.34</v>
      </c>
      <c r="D7" s="2">
        <v>2355541.75</v>
      </c>
      <c r="E7" s="2">
        <v>2363532.75</v>
      </c>
    </row>
    <row r="8" spans="1:7" x14ac:dyDescent="0.25">
      <c r="A8" s="50" t="s">
        <v>19</v>
      </c>
      <c r="B8" s="2">
        <v>13981930.369999999</v>
      </c>
      <c r="C8" s="2">
        <v>21957492.649999999</v>
      </c>
      <c r="D8" s="2">
        <v>27596961.960000001</v>
      </c>
      <c r="E8" s="2">
        <v>25601541.850000001</v>
      </c>
      <c r="F8" s="2">
        <v>8383888.7599999998</v>
      </c>
      <c r="G8" s="2">
        <v>5322052.7699999996</v>
      </c>
    </row>
    <row r="9" spans="1:7" x14ac:dyDescent="0.25">
      <c r="A9" s="52" t="s">
        <v>166</v>
      </c>
      <c r="B9" s="9">
        <f>SUM(C4:C8)-SUM(B4:B8)</f>
        <v>33278483.320000052</v>
      </c>
      <c r="C9" s="9">
        <f t="shared" ref="C9:D9" si="0">SUM(D4:D8)-SUM(C4:C8)</f>
        <v>-101333424.33000004</v>
      </c>
      <c r="D9" s="9">
        <f t="shared" si="0"/>
        <v>-71728461.169999957</v>
      </c>
      <c r="E9" s="9">
        <f t="shared" ref="E9" si="1">SUM(F4:F8)-SUM(E4:E8)</f>
        <v>-40971030.680000007</v>
      </c>
      <c r="F9" s="9">
        <f t="shared" ref="F9" si="2">SUM(G4:G8)-SUM(F4:F8)</f>
        <v>-73964643.540000021</v>
      </c>
    </row>
    <row r="11" spans="1:7" x14ac:dyDescent="0.25">
      <c r="A11" s="51" t="s">
        <v>167</v>
      </c>
    </row>
    <row r="12" spans="1:7" x14ac:dyDescent="0.25">
      <c r="A12" s="50" t="s">
        <v>168</v>
      </c>
    </row>
    <row r="13" spans="1:7" x14ac:dyDescent="0.25">
      <c r="A13" s="50" t="s">
        <v>169</v>
      </c>
      <c r="B13" s="2">
        <v>445865695.26999998</v>
      </c>
      <c r="C13" s="2">
        <v>453484554.12</v>
      </c>
      <c r="D13" s="2">
        <v>306304743.18000001</v>
      </c>
      <c r="E13" s="2">
        <v>212196638.96000001</v>
      </c>
      <c r="F13" s="2">
        <v>140389466.91</v>
      </c>
      <c r="G13" s="2">
        <v>60235680.770000003</v>
      </c>
    </row>
    <row r="14" spans="1:7" x14ac:dyDescent="0.25">
      <c r="A14" s="50" t="s">
        <v>170</v>
      </c>
      <c r="B14" s="2">
        <v>116662461.26000001</v>
      </c>
      <c r="C14" s="2">
        <v>103671965.14</v>
      </c>
      <c r="D14" s="2">
        <v>97531167.480000004</v>
      </c>
      <c r="E14" s="2">
        <v>90666378.489999995</v>
      </c>
      <c r="F14" s="2">
        <v>49333920.270000003</v>
      </c>
      <c r="G14" s="2">
        <v>35618022.469999999</v>
      </c>
    </row>
    <row r="15" spans="1:7" x14ac:dyDescent="0.25">
      <c r="A15" s="50" t="s">
        <v>171</v>
      </c>
      <c r="B15" s="2">
        <v>2135535896.03</v>
      </c>
      <c r="C15" s="2">
        <v>1891874143.9300001</v>
      </c>
      <c r="D15" s="2">
        <v>1731247591.55</v>
      </c>
      <c r="E15" s="2">
        <v>1420876018.0799999</v>
      </c>
      <c r="F15" s="2">
        <v>832750626.63</v>
      </c>
      <c r="G15" s="2">
        <v>360784181.85000002</v>
      </c>
    </row>
    <row r="16" spans="1:7" x14ac:dyDescent="0.25">
      <c r="A16" s="50" t="s">
        <v>172</v>
      </c>
      <c r="B16" s="2">
        <v>481065909.62</v>
      </c>
      <c r="C16" s="2">
        <v>463591057.45999998</v>
      </c>
      <c r="D16" s="2">
        <v>394332633.05000001</v>
      </c>
      <c r="E16" s="2">
        <v>360307219.19</v>
      </c>
      <c r="F16" s="2">
        <v>249947163.12</v>
      </c>
      <c r="G16" s="53">
        <v>155294527.97</v>
      </c>
    </row>
    <row r="17" spans="1:7" x14ac:dyDescent="0.25">
      <c r="A17" s="50" t="s">
        <v>173</v>
      </c>
      <c r="B17" s="2">
        <v>80085592.769999996</v>
      </c>
      <c r="C17" s="2">
        <v>70268322.719999999</v>
      </c>
      <c r="D17" s="2">
        <v>45606445.439999998</v>
      </c>
      <c r="E17" s="2">
        <v>55460575.329999998</v>
      </c>
      <c r="F17" s="2">
        <v>112428662.54000001</v>
      </c>
      <c r="G17" s="2">
        <v>37890686.5</v>
      </c>
    </row>
    <row r="18" spans="1:7" x14ac:dyDescent="0.25">
      <c r="A18" s="50" t="s">
        <v>174</v>
      </c>
      <c r="B18" s="2">
        <v>107215308.11</v>
      </c>
      <c r="C18" s="2">
        <v>134163014.03</v>
      </c>
      <c r="D18" s="2">
        <v>109350691.39</v>
      </c>
      <c r="E18" s="2">
        <v>88406222.099999994</v>
      </c>
      <c r="F18" s="2">
        <v>52964851.549999997</v>
      </c>
      <c r="G18" s="2">
        <v>18944336.100000001</v>
      </c>
    </row>
    <row r="19" spans="1:7" x14ac:dyDescent="0.25">
      <c r="A19" s="50" t="s">
        <v>175</v>
      </c>
      <c r="B19" s="2">
        <v>943348599.33000004</v>
      </c>
      <c r="C19" s="2">
        <v>605810895.13</v>
      </c>
      <c r="D19" s="2">
        <v>310666371.75999999</v>
      </c>
      <c r="E19" s="2">
        <v>166913835.02000001</v>
      </c>
      <c r="F19" s="2">
        <v>84923225.060000002</v>
      </c>
      <c r="G19" s="2">
        <v>57945108.060000002</v>
      </c>
    </row>
    <row r="20" spans="1:7" x14ac:dyDescent="0.25">
      <c r="A20" s="50" t="s">
        <v>176</v>
      </c>
      <c r="B20" s="2">
        <v>2392855.73</v>
      </c>
      <c r="C20" s="2">
        <v>36640186.950000003</v>
      </c>
      <c r="D20" s="2">
        <v>43847197</v>
      </c>
      <c r="E20" s="2">
        <v>66634447.210000001</v>
      </c>
      <c r="F20" s="2">
        <v>83720563.299999997</v>
      </c>
      <c r="G20" s="2">
        <v>35553470.619999997</v>
      </c>
    </row>
    <row r="21" spans="1:7" x14ac:dyDescent="0.25">
      <c r="A21" s="52" t="s">
        <v>177</v>
      </c>
      <c r="B21" s="9">
        <f>SUM(B12:B20)-SUM(C12:C20)</f>
        <v>552668178.63999987</v>
      </c>
      <c r="C21" s="9">
        <f t="shared" ref="C21:D21" si="3">SUM(C12:C20)-SUM(D12:D20)</f>
        <v>720617298.62999964</v>
      </c>
      <c r="D21" s="9">
        <f t="shared" si="3"/>
        <v>577425506.47000027</v>
      </c>
      <c r="E21" s="9">
        <f t="shared" ref="E21" si="4">SUM(E12:E20)-SUM(F12:F20)</f>
        <v>855002855.00000048</v>
      </c>
      <c r="F21" s="9">
        <f t="shared" ref="F21" si="5">SUM(F12:F20)-SUM(G12:G20)</f>
        <v>844192465.0399996</v>
      </c>
    </row>
    <row r="22" spans="1:7" x14ac:dyDescent="0.25">
      <c r="A22" s="50"/>
    </row>
    <row r="23" spans="1:7" x14ac:dyDescent="0.25">
      <c r="A23" s="51" t="s">
        <v>178</v>
      </c>
      <c r="B23" s="2">
        <v>977813.13</v>
      </c>
      <c r="C23" s="2">
        <v>1588564.11</v>
      </c>
      <c r="D23" s="2">
        <v>1355157.04</v>
      </c>
      <c r="E23" s="2">
        <v>2493895.29</v>
      </c>
      <c r="F23" s="2">
        <v>1545135.92</v>
      </c>
      <c r="G23" s="2">
        <v>1625294.32</v>
      </c>
    </row>
    <row r="24" spans="1:7" x14ac:dyDescent="0.25">
      <c r="A24" s="52" t="s">
        <v>179</v>
      </c>
      <c r="B24" s="9">
        <f>C23-B23</f>
        <v>610750.9800000001</v>
      </c>
      <c r="C24" s="9">
        <f t="shared" ref="C24:D24" si="6">D23-C23</f>
        <v>-233407.07000000007</v>
      </c>
      <c r="D24" s="9">
        <f t="shared" si="6"/>
        <v>1138738.25</v>
      </c>
      <c r="E24" s="9">
        <f t="shared" ref="E24" si="7">F23-E23</f>
        <v>-948759.37000000011</v>
      </c>
      <c r="F24" s="9">
        <f t="shared" ref="F24" si="8">G23-F23</f>
        <v>80158.40000000014</v>
      </c>
    </row>
  </sheetData>
  <sheetProtection sheet="1" objects="1" scenarios="1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DC65-2772-AF4C-99D9-608E1FD85EF0}">
  <sheetPr codeName="Sheet5"/>
  <dimension ref="A1:H31"/>
  <sheetViews>
    <sheetView workbookViewId="0">
      <selection activeCell="D34" sqref="D34"/>
    </sheetView>
  </sheetViews>
  <sheetFormatPr defaultColWidth="11" defaultRowHeight="15.75" x14ac:dyDescent="0.25"/>
  <cols>
    <col min="1" max="1" width="32" bestFit="1" customWidth="1"/>
    <col min="2" max="8" width="16.375" bestFit="1" customWidth="1"/>
  </cols>
  <sheetData>
    <row r="1" spans="1:8" x14ac:dyDescent="0.25">
      <c r="B1" s="3">
        <v>2024</v>
      </c>
      <c r="C1" s="3">
        <v>2023</v>
      </c>
      <c r="D1" s="3">
        <v>2022</v>
      </c>
      <c r="E1" s="3">
        <v>2021</v>
      </c>
      <c r="F1" s="3">
        <v>2020</v>
      </c>
      <c r="G1" s="3">
        <v>2019</v>
      </c>
      <c r="H1" s="3">
        <v>2018</v>
      </c>
    </row>
    <row r="2" spans="1:8" x14ac:dyDescent="0.25">
      <c r="A2" t="s">
        <v>180</v>
      </c>
    </row>
    <row r="3" spans="1:8" x14ac:dyDescent="0.25">
      <c r="A3" s="1" t="s">
        <v>181</v>
      </c>
      <c r="B3" s="54">
        <v>3283292495.3600001</v>
      </c>
      <c r="C3" s="2"/>
    </row>
    <row r="4" spans="1:8" x14ac:dyDescent="0.25">
      <c r="A4" s="1" t="s">
        <v>182</v>
      </c>
      <c r="B4" s="54">
        <v>436500045.79000002</v>
      </c>
    </row>
    <row r="5" spans="1:8" x14ac:dyDescent="0.25">
      <c r="A5" s="1" t="s">
        <v>183</v>
      </c>
      <c r="B5" s="54">
        <v>1267945830.53</v>
      </c>
    </row>
    <row r="6" spans="1:8" x14ac:dyDescent="0.25">
      <c r="A6" s="1" t="s">
        <v>184</v>
      </c>
      <c r="B6" s="54">
        <v>133100427.14</v>
      </c>
    </row>
    <row r="7" spans="1:8" x14ac:dyDescent="0.25">
      <c r="A7" s="1"/>
      <c r="B7" s="54"/>
    </row>
    <row r="8" spans="1:8" x14ac:dyDescent="0.25">
      <c r="A8" s="1" t="s">
        <v>185</v>
      </c>
      <c r="B8" s="54"/>
      <c r="C8" s="64">
        <v>2653347765.9000001</v>
      </c>
      <c r="D8" s="64">
        <v>2050127100.6099999</v>
      </c>
      <c r="E8" s="64">
        <v>1465298494.3499999</v>
      </c>
      <c r="F8" s="108">
        <v>1108880452.02</v>
      </c>
      <c r="G8" s="108">
        <v>679529990.40999997</v>
      </c>
    </row>
    <row r="9" spans="1:8" x14ac:dyDescent="0.25">
      <c r="A9" s="1" t="s">
        <v>186</v>
      </c>
      <c r="B9" s="54"/>
      <c r="C9" s="64">
        <v>957434878.74000001</v>
      </c>
      <c r="D9" s="64">
        <v>691989137</v>
      </c>
      <c r="E9" s="64">
        <v>446262030.67000002</v>
      </c>
      <c r="F9" s="109"/>
      <c r="G9" s="109"/>
    </row>
    <row r="10" spans="1:8" x14ac:dyDescent="0.25">
      <c r="A10" s="1" t="s">
        <v>187</v>
      </c>
      <c r="B10" s="54"/>
      <c r="C10" s="64">
        <v>655145200.46000004</v>
      </c>
      <c r="D10" s="64">
        <v>835620529.94000006</v>
      </c>
      <c r="E10" s="64">
        <v>962448529.77999997</v>
      </c>
      <c r="F10" s="64">
        <v>802776151.86000001</v>
      </c>
      <c r="G10" s="64">
        <v>404060881.91000003</v>
      </c>
    </row>
    <row r="11" spans="1:8" x14ac:dyDescent="0.25">
      <c r="A11" s="1" t="s">
        <v>188</v>
      </c>
      <c r="B11" s="54"/>
      <c r="C11" s="64">
        <v>290040442.29000002</v>
      </c>
      <c r="D11" s="64">
        <v>306447954.55000001</v>
      </c>
      <c r="E11" s="64">
        <v>405602050.38</v>
      </c>
      <c r="F11" s="64">
        <v>349078802.39999998</v>
      </c>
      <c r="G11" s="64">
        <v>495841206.56</v>
      </c>
    </row>
    <row r="13" spans="1:8" x14ac:dyDescent="0.25">
      <c r="A13" t="s">
        <v>189</v>
      </c>
    </row>
    <row r="14" spans="1:8" x14ac:dyDescent="0.25">
      <c r="A14" s="1" t="s">
        <v>181</v>
      </c>
      <c r="B14" s="2">
        <v>617437144.46000004</v>
      </c>
    </row>
    <row r="15" spans="1:8" x14ac:dyDescent="0.25">
      <c r="A15" s="1" t="s">
        <v>182</v>
      </c>
      <c r="B15" s="2">
        <v>38597698.490000002</v>
      </c>
    </row>
    <row r="16" spans="1:8" x14ac:dyDescent="0.25">
      <c r="A16" s="1" t="s">
        <v>183</v>
      </c>
      <c r="B16" s="2">
        <v>92285166.959999993</v>
      </c>
    </row>
    <row r="17" spans="1:8" x14ac:dyDescent="0.25">
      <c r="A17" s="1" t="s">
        <v>184</v>
      </c>
      <c r="B17" s="2">
        <v>12441907.99</v>
      </c>
    </row>
    <row r="18" spans="1:8" x14ac:dyDescent="0.25">
      <c r="A18" s="1"/>
      <c r="B18" s="2"/>
    </row>
    <row r="19" spans="1:8" x14ac:dyDescent="0.25">
      <c r="A19" s="1" t="s">
        <v>185</v>
      </c>
      <c r="B19" s="2"/>
      <c r="C19" s="64">
        <v>491026113.25</v>
      </c>
      <c r="D19" s="64">
        <v>394658992.69</v>
      </c>
      <c r="E19" s="64">
        <v>252117663.06</v>
      </c>
      <c r="F19" s="108">
        <v>169505937.59999999</v>
      </c>
      <c r="G19" s="108">
        <v>130921996.17</v>
      </c>
    </row>
    <row r="20" spans="1:8" x14ac:dyDescent="0.25">
      <c r="A20" s="1" t="s">
        <v>186</v>
      </c>
      <c r="B20" s="2"/>
      <c r="C20" s="64">
        <v>69896549.599999994</v>
      </c>
      <c r="D20" s="64">
        <v>45732606.909999996</v>
      </c>
      <c r="E20" s="64">
        <v>22910358.890000001</v>
      </c>
      <c r="F20" s="109"/>
      <c r="G20" s="109"/>
    </row>
    <row r="21" spans="1:8" x14ac:dyDescent="0.25">
      <c r="A21" s="1" t="s">
        <v>187</v>
      </c>
      <c r="B21" s="2"/>
      <c r="C21" s="64">
        <v>45043823.460000001</v>
      </c>
      <c r="D21" s="64">
        <v>54917864.469999999</v>
      </c>
      <c r="E21" s="64">
        <v>38139386.240000002</v>
      </c>
      <c r="F21" s="64">
        <v>31581106</v>
      </c>
      <c r="G21" s="64">
        <v>84207292.430000007</v>
      </c>
    </row>
    <row r="22" spans="1:8" x14ac:dyDescent="0.25">
      <c r="A22" s="1" t="s">
        <v>188</v>
      </c>
      <c r="C22" s="64">
        <v>63873652.869999997</v>
      </c>
      <c r="D22" s="64">
        <v>86963740.730000004</v>
      </c>
      <c r="E22" s="64">
        <v>115739058.47</v>
      </c>
      <c r="F22" s="64">
        <v>76811386.450000003</v>
      </c>
      <c r="G22" s="64">
        <v>12541145.33</v>
      </c>
    </row>
    <row r="24" spans="1:8" x14ac:dyDescent="0.25">
      <c r="A24" s="51" t="s">
        <v>190</v>
      </c>
      <c r="B24" s="54">
        <v>5119462977.5699997</v>
      </c>
      <c r="C24" s="54">
        <v>4553849522.46</v>
      </c>
      <c r="D24" s="54">
        <v>3884184722.0999999</v>
      </c>
      <c r="E24" s="2">
        <v>3279611105.1799998</v>
      </c>
      <c r="F24" s="2">
        <v>2260735406.2800002</v>
      </c>
      <c r="G24" s="2">
        <v>1579432078.8800001</v>
      </c>
      <c r="H24" s="2">
        <v>1129544225.4000001</v>
      </c>
    </row>
    <row r="25" spans="1:8" x14ac:dyDescent="0.25">
      <c r="A25" s="51" t="s">
        <v>191</v>
      </c>
      <c r="B25" s="54">
        <v>759785070.16999996</v>
      </c>
      <c r="C25" s="54">
        <v>668780859.16999996</v>
      </c>
      <c r="D25" s="54">
        <v>582273204.79999995</v>
      </c>
      <c r="E25" s="2">
        <v>428906466.66000003</v>
      </c>
      <c r="F25" s="2">
        <v>277898430.05000001</v>
      </c>
      <c r="G25" s="2">
        <v>227670433.93000001</v>
      </c>
      <c r="H25" s="2">
        <v>149977627.72999999</v>
      </c>
    </row>
    <row r="26" spans="1:8" x14ac:dyDescent="0.25">
      <c r="A26" s="51" t="s">
        <v>192</v>
      </c>
      <c r="B26" s="54">
        <f>B24-B25</f>
        <v>4359677907.3999996</v>
      </c>
      <c r="C26" s="54">
        <f>C24-C25</f>
        <v>3885068663.29</v>
      </c>
      <c r="D26" s="54">
        <f>D24-D25</f>
        <v>3301911517.3000002</v>
      </c>
      <c r="E26" s="54">
        <f t="shared" ref="E26:H26" si="0">E24-E25</f>
        <v>2850704638.52</v>
      </c>
      <c r="F26" s="54">
        <f t="shared" si="0"/>
        <v>1982836976.2300003</v>
      </c>
      <c r="G26" s="54">
        <f t="shared" si="0"/>
        <v>1351761644.95</v>
      </c>
      <c r="H26" s="54">
        <f t="shared" si="0"/>
        <v>979566597.67000008</v>
      </c>
    </row>
    <row r="27" spans="1:8" x14ac:dyDescent="0.25">
      <c r="A27" s="50" t="s">
        <v>193</v>
      </c>
      <c r="B27" s="31">
        <f>B26/B24</f>
        <v>0.85158891205994436</v>
      </c>
      <c r="C27" s="31">
        <f>C26/C24</f>
        <v>0.85313944699500677</v>
      </c>
      <c r="D27" s="31">
        <f>D26/D24</f>
        <v>0.85009126844894456</v>
      </c>
      <c r="E27" s="31">
        <f t="shared" ref="E27:H27" si="1">E26/E24</f>
        <v>0.86922032737888921</v>
      </c>
      <c r="F27" s="31">
        <f t="shared" si="1"/>
        <v>0.87707609246175477</v>
      </c>
      <c r="G27" s="31">
        <f t="shared" si="1"/>
        <v>0.85585297590546294</v>
      </c>
      <c r="H27" s="31">
        <f t="shared" si="1"/>
        <v>0.86722288126709768</v>
      </c>
    </row>
    <row r="28" spans="1:8" x14ac:dyDescent="0.25">
      <c r="A28" s="51" t="s">
        <v>194</v>
      </c>
      <c r="B28" s="54">
        <v>1375821.25</v>
      </c>
      <c r="C28" s="54">
        <v>2118764.9300000002</v>
      </c>
      <c r="D28" s="54">
        <v>774759.28</v>
      </c>
      <c r="E28" s="2">
        <v>447652.85</v>
      </c>
      <c r="F28" s="2">
        <v>232986.85</v>
      </c>
      <c r="G28" s="2">
        <v>88531.37</v>
      </c>
      <c r="H28" s="2">
        <v>136912.34</v>
      </c>
    </row>
    <row r="29" spans="1:8" x14ac:dyDescent="0.25">
      <c r="A29" s="51" t="s">
        <v>195</v>
      </c>
      <c r="B29" s="54">
        <v>976847.73</v>
      </c>
      <c r="C29" s="54">
        <v>1059280.01</v>
      </c>
      <c r="D29" s="54">
        <v>637454.61</v>
      </c>
      <c r="E29" s="2">
        <v>446317.47</v>
      </c>
      <c r="F29" s="2">
        <v>236511.47</v>
      </c>
      <c r="G29" s="2">
        <v>95300</v>
      </c>
      <c r="H29" s="2">
        <v>136250</v>
      </c>
    </row>
    <row r="30" spans="1:8" x14ac:dyDescent="0.25">
      <c r="A30" s="51" t="s">
        <v>196</v>
      </c>
      <c r="B30" s="54">
        <f>B28-B29</f>
        <v>398973.52</v>
      </c>
      <c r="C30" s="54">
        <f>C28-C29</f>
        <v>1059484.9200000002</v>
      </c>
      <c r="D30" s="54">
        <f>D28-D29</f>
        <v>137304.67000000004</v>
      </c>
      <c r="E30" s="54">
        <f t="shared" ref="E30:H30" si="2">E28-E29</f>
        <v>1335.3800000000047</v>
      </c>
      <c r="F30" s="54">
        <f t="shared" si="2"/>
        <v>-3524.6199999999953</v>
      </c>
      <c r="G30" s="54">
        <f t="shared" si="2"/>
        <v>-6768.6300000000047</v>
      </c>
      <c r="H30" s="54">
        <f t="shared" si="2"/>
        <v>662.33999999999651</v>
      </c>
    </row>
    <row r="31" spans="1:8" x14ac:dyDescent="0.25">
      <c r="A31" s="50" t="s">
        <v>193</v>
      </c>
      <c r="B31" s="31">
        <f>B30/B28</f>
        <v>0.28998935726570585</v>
      </c>
      <c r="C31" s="31">
        <f>C30/C28</f>
        <v>0.50004835600143716</v>
      </c>
      <c r="D31" s="31">
        <f>D30/D28</f>
        <v>0.17722236253820675</v>
      </c>
      <c r="E31" s="31">
        <f t="shared" ref="E31:H31" si="3">E30/E28</f>
        <v>2.983070475257791E-3</v>
      </c>
      <c r="F31" s="31">
        <f t="shared" si="3"/>
        <v>-1.5127978252849872E-2</v>
      </c>
      <c r="G31" s="31">
        <f t="shared" si="3"/>
        <v>-7.6454594569134143E-2</v>
      </c>
      <c r="H31" s="31">
        <f t="shared" si="3"/>
        <v>4.8376939580464153E-3</v>
      </c>
    </row>
  </sheetData>
  <sheetProtection sheet="1" objects="1" scenarios="1"/>
  <mergeCells count="4">
    <mergeCell ref="F8:F9"/>
    <mergeCell ref="F19:F20"/>
    <mergeCell ref="G8:G9"/>
    <mergeCell ref="G19:G2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5957-DB4B-5441-A802-ADA2312CD5B5}">
  <dimension ref="A1:I172"/>
  <sheetViews>
    <sheetView tabSelected="1" workbookViewId="0">
      <pane xSplit="1" ySplit="1" topLeftCell="B95" activePane="bottomRight" state="frozen"/>
      <selection pane="topRight" activeCell="B1" sqref="B1"/>
      <selection pane="bottomLeft" activeCell="A2" sqref="A2"/>
      <selection pane="bottomRight" activeCell="B125" sqref="B125"/>
    </sheetView>
  </sheetViews>
  <sheetFormatPr defaultColWidth="11" defaultRowHeight="15.75" x14ac:dyDescent="0.25"/>
  <cols>
    <col min="1" max="1" width="20.875" bestFit="1" customWidth="1"/>
    <col min="2" max="3" width="17.875" bestFit="1" customWidth="1"/>
    <col min="4" max="4" width="15.875" bestFit="1" customWidth="1"/>
    <col min="5" max="7" width="16.125" bestFit="1" customWidth="1"/>
    <col min="8" max="8" width="16.625" bestFit="1" customWidth="1"/>
    <col min="9" max="9" width="15" bestFit="1" customWidth="1"/>
  </cols>
  <sheetData>
    <row r="1" spans="1:9" s="23" customFormat="1" x14ac:dyDescent="0.25">
      <c r="B1" s="3" t="s">
        <v>207</v>
      </c>
      <c r="C1" s="3" t="s">
        <v>207</v>
      </c>
      <c r="D1" s="3">
        <v>2024</v>
      </c>
      <c r="E1" s="3">
        <v>2023</v>
      </c>
      <c r="F1" s="3">
        <v>2022</v>
      </c>
      <c r="G1" s="3">
        <v>2021</v>
      </c>
      <c r="H1" s="3">
        <v>2020</v>
      </c>
      <c r="I1" s="3">
        <v>2019</v>
      </c>
    </row>
    <row r="2" spans="1:9" x14ac:dyDescent="0.25">
      <c r="A2" s="12" t="s">
        <v>6</v>
      </c>
      <c r="B2" s="12"/>
      <c r="D2" s="61">
        <f>'balance sheet（处理后）'!C2</f>
        <v>15912888756.23</v>
      </c>
      <c r="E2" s="61">
        <f>'balance sheet（处理后）'!D2</f>
        <v>13974021307.950001</v>
      </c>
      <c r="F2" s="61">
        <f>'balance sheet（处理后）'!E2</f>
        <v>12057676594.66</v>
      </c>
      <c r="G2" s="61">
        <f>'balance sheet（处理后）'!F2</f>
        <v>10425669410.85</v>
      </c>
      <c r="H2" s="61">
        <f>'balance sheet（处理后）'!G2</f>
        <v>8511586171.3400011</v>
      </c>
      <c r="I2" s="61">
        <f>'balance sheet（处理后）'!H2</f>
        <v>6843993486.5900011</v>
      </c>
    </row>
    <row r="3" spans="1:9" x14ac:dyDescent="0.25">
      <c r="A3" s="68" t="s">
        <v>211</v>
      </c>
      <c r="B3" s="68"/>
      <c r="D3" s="61">
        <f>'balance sheet（处理后）'!C3</f>
        <v>12812478903.17</v>
      </c>
      <c r="E3" s="61">
        <f>'balance sheet（处理后）'!D3</f>
        <v>11392117752.74</v>
      </c>
      <c r="F3" s="61">
        <f>'balance sheet（处理后）'!E3</f>
        <v>10293766617.610001</v>
      </c>
      <c r="G3" s="61">
        <f>'balance sheet（处理后）'!F3</f>
        <v>9219308244.5200005</v>
      </c>
      <c r="H3" s="61">
        <f>'balance sheet（处理后）'!G3</f>
        <v>7644210330.1900005</v>
      </c>
      <c r="I3" s="61">
        <f>'balance sheet（处理后）'!H3</f>
        <v>6295517564.5300007</v>
      </c>
    </row>
    <row r="4" spans="1:9" x14ac:dyDescent="0.25">
      <c r="A4" s="68" t="s">
        <v>209</v>
      </c>
      <c r="B4" s="68"/>
      <c r="D4" s="61">
        <f>'balance sheet（处理后）'!C10</f>
        <v>1583782588.3699999</v>
      </c>
      <c r="E4" s="61">
        <f>'balance sheet（处理后）'!D10</f>
        <v>1114893783.9300001</v>
      </c>
      <c r="F4" s="61">
        <f>'balance sheet（处理后）'!E10</f>
        <v>491331400.65999997</v>
      </c>
      <c r="G4" s="61">
        <f>'balance sheet（处理后）'!F10</f>
        <v>168417952.90000001</v>
      </c>
      <c r="H4" s="61">
        <f>'balance sheet（处理后）'!G10</f>
        <v>53083238.060000002</v>
      </c>
      <c r="I4" s="61">
        <f>'balance sheet（处理后）'!H10</f>
        <v>38612670.560000002</v>
      </c>
    </row>
    <row r="5" spans="1:9" x14ac:dyDescent="0.25">
      <c r="A5" s="68" t="s">
        <v>214</v>
      </c>
      <c r="B5" s="68"/>
      <c r="D5" s="61">
        <f>'balance sheet（处理后）'!C15</f>
        <v>728160925.47000015</v>
      </c>
      <c r="E5" s="61">
        <f>'balance sheet（处理后）'!D15</f>
        <v>761154339.94000006</v>
      </c>
      <c r="F5" s="61">
        <f>'balance sheet（处理后）'!E15</f>
        <v>647433732</v>
      </c>
      <c r="G5" s="61">
        <f>'balance sheet（处理后）'!F15</f>
        <v>535055086.82999992</v>
      </c>
      <c r="H5" s="61">
        <f>'balance sheet（处理后）'!G15</f>
        <v>496169196.71999997</v>
      </c>
      <c r="I5" s="61">
        <f>'balance sheet（处理后）'!H15</f>
        <v>414108359.10000002</v>
      </c>
    </row>
    <row r="6" spans="1:9" x14ac:dyDescent="0.25">
      <c r="A6" s="1" t="s">
        <v>210</v>
      </c>
      <c r="B6" s="1"/>
      <c r="D6" s="61">
        <f>'balance sheet（处理后）'!C16+'balance sheet（处理后）'!C17</f>
        <v>509876711.66000003</v>
      </c>
      <c r="E6" s="61">
        <f>'balance sheet（处理后）'!D16+'balance sheet（处理后）'!D17</f>
        <v>569020348.12</v>
      </c>
      <c r="F6" s="61">
        <f>'balance sheet（处理后）'!E16+'balance sheet（处理后）'!E17</f>
        <v>500239265.38999999</v>
      </c>
      <c r="G6" s="61">
        <f>'balance sheet（处理后）'!F16+'balance sheet（处理后）'!F17</f>
        <v>415198324.98000002</v>
      </c>
      <c r="H6" s="61">
        <f>'balance sheet（处理后）'!G16+'balance sheet（处理后）'!G17</f>
        <v>400449379.14999998</v>
      </c>
      <c r="I6" s="61">
        <f>'balance sheet（处理后）'!H16+'balance sheet（处理后）'!H17</f>
        <v>347109517.23000002</v>
      </c>
    </row>
    <row r="7" spans="1:9" x14ac:dyDescent="0.25">
      <c r="A7" s="1" t="s">
        <v>237</v>
      </c>
      <c r="B7" s="1"/>
      <c r="D7" s="61">
        <f>balance!C18</f>
        <v>13981930.369999999</v>
      </c>
      <c r="E7" s="61">
        <f>balance!D18</f>
        <v>21957492.649999999</v>
      </c>
      <c r="F7" s="61">
        <f>balance!E18</f>
        <v>27596961.960000001</v>
      </c>
      <c r="G7" s="61">
        <f>balance!F18</f>
        <v>25601541.850000001</v>
      </c>
      <c r="H7" s="61">
        <f>balance!G18</f>
        <v>8383888.7599999998</v>
      </c>
      <c r="I7" s="61">
        <f>balance!H18</f>
        <v>5322052.7699999996</v>
      </c>
    </row>
    <row r="8" spans="1:9" x14ac:dyDescent="0.25">
      <c r="A8" s="1" t="s">
        <v>21</v>
      </c>
      <c r="B8" s="1"/>
      <c r="D8" s="61">
        <f>'balance sheet（处理后）'!C20</f>
        <v>802036.62</v>
      </c>
      <c r="E8" s="61">
        <f>'balance sheet（处理后）'!D20</f>
        <v>1412787.6</v>
      </c>
      <c r="F8" s="61">
        <f>'balance sheet（处理后）'!E20</f>
        <v>1157966.8600000001</v>
      </c>
      <c r="G8" s="61">
        <f>'balance sheet（处理后）'!F20</f>
        <v>2296705.11</v>
      </c>
      <c r="H8" s="61">
        <f>'balance sheet（处理后）'!G20</f>
        <v>1347945.74</v>
      </c>
      <c r="I8" s="61">
        <f>'balance sheet（处理后）'!H20</f>
        <v>1428104.14</v>
      </c>
    </row>
    <row r="9" spans="1:9" x14ac:dyDescent="0.25">
      <c r="A9" s="68" t="s">
        <v>26</v>
      </c>
      <c r="B9" s="68"/>
      <c r="D9" s="61">
        <f>'balance sheet（处理后）'!C26</f>
        <v>788466339.22000015</v>
      </c>
      <c r="E9" s="61">
        <f>'balance sheet（处理后）'!D26</f>
        <v>705855431.34000003</v>
      </c>
      <c r="F9" s="61">
        <f>'balance sheet（处理后）'!E26</f>
        <v>625144844.3900001</v>
      </c>
      <c r="G9" s="61">
        <f>'balance sheet（处理后）'!F26</f>
        <v>502888126.60000002</v>
      </c>
      <c r="H9" s="61">
        <f>'balance sheet（处理后）'!G26</f>
        <v>318123406.37</v>
      </c>
      <c r="I9" s="61">
        <f>'balance sheet（处理后）'!H26</f>
        <v>95754892.400000006</v>
      </c>
    </row>
    <row r="10" spans="1:9" x14ac:dyDescent="0.25">
      <c r="A10" s="12" t="s">
        <v>33</v>
      </c>
      <c r="B10" s="12"/>
      <c r="D10" s="61">
        <f>'balance sheet（处理后）'!C34</f>
        <v>4476319129.6899996</v>
      </c>
      <c r="E10" s="61">
        <f>'balance sheet（处理后）'!D34</f>
        <v>3954415069.1300001</v>
      </c>
      <c r="F10" s="61">
        <f>'balance sheet（处理后）'!E34</f>
        <v>3259285626.6000004</v>
      </c>
      <c r="G10" s="61">
        <f>'balance sheet（处理后）'!F34</f>
        <v>2645460097.9500003</v>
      </c>
      <c r="H10" s="61">
        <f>'balance sheet（处理后）'!G34</f>
        <v>1620762893.4499996</v>
      </c>
      <c r="I10" s="61">
        <f>'balance sheet（处理后）'!H34</f>
        <v>775413228.14999998</v>
      </c>
    </row>
    <row r="11" spans="1:9" x14ac:dyDescent="0.25">
      <c r="A11" s="68" t="s">
        <v>238</v>
      </c>
      <c r="B11" s="68"/>
      <c r="D11" s="61">
        <f>'balance sheet（处理后）'!C38+'balance sheet（处理后）'!C46</f>
        <v>3078884495.3600001</v>
      </c>
      <c r="E11" s="61">
        <f>'balance sheet（处理后）'!D38+'balance sheet（处理后）'!D46</f>
        <v>2504513039.0599999</v>
      </c>
      <c r="F11" s="61">
        <f>'balance sheet（处理后）'!E38+'balance sheet（处理后）'!E46</f>
        <v>2048528963.3099999</v>
      </c>
      <c r="G11" s="61">
        <f>'balance sheet（处理后）'!F38+'balance sheet（处理后）'!F46</f>
        <v>1594215853.0999999</v>
      </c>
      <c r="H11" s="61">
        <f>'balance sheet（处理后）'!G38+'balance sheet（处理后）'!G46</f>
        <v>917673851.69000006</v>
      </c>
      <c r="I11" s="61">
        <f>'balance sheet（处理后）'!H38+'balance sheet（处理后）'!H46</f>
        <v>0</v>
      </c>
    </row>
    <row r="12" spans="1:9" x14ac:dyDescent="0.25">
      <c r="A12" s="68" t="s">
        <v>204</v>
      </c>
      <c r="B12" s="68"/>
      <c r="D12" s="61">
        <f>'balance sheet（处理后）'!C36</f>
        <v>445865695.26999998</v>
      </c>
      <c r="E12" s="61">
        <f>'balance sheet（处理后）'!D36</f>
        <v>453484554.12</v>
      </c>
      <c r="F12" s="61">
        <f>'balance sheet（处理后）'!E36</f>
        <v>306304743.18000001</v>
      </c>
      <c r="G12" s="61">
        <f>'balance sheet（处理后）'!F36</f>
        <v>212196638.96000001</v>
      </c>
      <c r="H12" s="61">
        <f>'balance sheet（处理后）'!G36</f>
        <v>140389466.91</v>
      </c>
      <c r="I12" s="61">
        <f>'balance sheet（处理后）'!H36</f>
        <v>60235680.770000003</v>
      </c>
    </row>
    <row r="13" spans="1:9" x14ac:dyDescent="0.25">
      <c r="A13" s="68" t="s">
        <v>212</v>
      </c>
      <c r="B13" s="68"/>
      <c r="D13" s="61">
        <f>'balance sheet（处理后）'!C49+'balance sheet（处理后）'!C52</f>
        <v>113101175.59</v>
      </c>
      <c r="E13" s="61">
        <f>'balance sheet（处理后）'!D49+'balance sheet（处理后）'!D52</f>
        <v>78405526.129999995</v>
      </c>
      <c r="F13" s="61">
        <f>'balance sheet（处理后）'!E49+'balance sheet（处理后）'!E52</f>
        <v>135269316.06</v>
      </c>
      <c r="G13" s="61">
        <f>'balance sheet（处理后）'!F49+'balance sheet（处理后）'!F52</f>
        <v>114513201.34</v>
      </c>
      <c r="H13" s="61">
        <f>'balance sheet（处理后）'!G49+'balance sheet（处理后）'!G52</f>
        <v>0</v>
      </c>
      <c r="I13" s="61">
        <f>'balance sheet（处理后）'!H49+'balance sheet（处理后）'!H52</f>
        <v>0</v>
      </c>
    </row>
    <row r="14" spans="1:9" x14ac:dyDescent="0.25">
      <c r="A14" s="12" t="s">
        <v>208</v>
      </c>
      <c r="B14" s="12"/>
      <c r="D14" s="61">
        <f>'balance sheet（处理后）'!C55</f>
        <v>11436569626.540001</v>
      </c>
      <c r="E14" s="61">
        <f>'balance sheet（处理后）'!D55</f>
        <v>10019606238.82</v>
      </c>
      <c r="F14" s="61">
        <f>'balance sheet（处理后）'!E55</f>
        <v>8798390968.0599995</v>
      </c>
      <c r="G14" s="61">
        <f>'balance sheet（处理后）'!F55</f>
        <v>7780209312.9000015</v>
      </c>
      <c r="H14" s="61">
        <f>'balance sheet（处理后）'!G55</f>
        <v>6890823277.8900003</v>
      </c>
      <c r="I14" s="61">
        <f>'balance sheet（处理后）'!H55</f>
        <v>6068580258.4400005</v>
      </c>
    </row>
    <row r="15" spans="1:9" x14ac:dyDescent="0.25">
      <c r="A15" s="70" t="s">
        <v>149</v>
      </c>
      <c r="B15" s="70"/>
      <c r="D15" s="61">
        <f>'balance sheet（处理后）'!C56+'balance sheet（处理后）'!C57+'balance sheet（处理后）'!C58</f>
        <v>5803287545.5799999</v>
      </c>
      <c r="E15" s="61">
        <f>'balance sheet（处理后）'!D56+'balance sheet（处理后）'!D57+'balance sheet（处理后）'!D58</f>
        <v>5639520712.2399998</v>
      </c>
      <c r="F15" s="61">
        <f>'balance sheet（处理后）'!E56+'balance sheet（处理后）'!E57+'balance sheet（处理后）'!E58</f>
        <v>5402862900.2799997</v>
      </c>
      <c r="G15" s="61">
        <f>'balance sheet（处理后）'!F56+'balance sheet（处理后）'!F57+'balance sheet（处理后）'!F58</f>
        <v>5208522745.9700003</v>
      </c>
      <c r="H15" s="61">
        <f>'balance sheet（处理后）'!G56+'balance sheet（处理后）'!G57+'balance sheet（处理后）'!G58</f>
        <v>5102910463.3000002</v>
      </c>
      <c r="I15" s="61">
        <f>'balance sheet（处理后）'!H56+'balance sheet（处理后）'!H57+'balance sheet（处理后）'!H58</f>
        <v>5049252580.5900002</v>
      </c>
    </row>
    <row r="16" spans="1:9" x14ac:dyDescent="0.25">
      <c r="A16" s="68" t="s">
        <v>213</v>
      </c>
      <c r="B16" s="68"/>
      <c r="D16" s="61">
        <f>'balance sheet（处理后）'!C61</f>
        <v>5301346699.0500002</v>
      </c>
      <c r="E16" s="61">
        <f>'balance sheet（处理后）'!D61</f>
        <v>4093062809.6999998</v>
      </c>
      <c r="F16" s="61">
        <f>'balance sheet（处理后）'!E61</f>
        <v>3157062575.6300001</v>
      </c>
      <c r="G16" s="61">
        <f>'balance sheet（处理后）'!F61</f>
        <v>2408174713.8899999</v>
      </c>
      <c r="H16" s="61">
        <f>'balance sheet（处理后）'!G61</f>
        <v>1680848412.0799999</v>
      </c>
      <c r="I16" s="61">
        <f>'balance sheet（处理后）'!H61</f>
        <v>953153562.22000003</v>
      </c>
    </row>
    <row r="17" spans="1:9" x14ac:dyDescent="0.25">
      <c r="A17" s="76" t="s">
        <v>239</v>
      </c>
      <c r="B17" s="68"/>
      <c r="D17" s="61">
        <f>balance!C63</f>
        <v>415991268.89999998</v>
      </c>
      <c r="E17" s="61">
        <f>balance!D63</f>
        <v>406291755.75999999</v>
      </c>
      <c r="F17" s="61">
        <f>balance!E63</f>
        <v>322700000</v>
      </c>
      <c r="G17" s="61">
        <f>balance!F63</f>
        <v>0</v>
      </c>
      <c r="H17" s="61">
        <f>balance!G63</f>
        <v>276600000</v>
      </c>
      <c r="I17" s="61">
        <f>balance!H63</f>
        <v>138300000</v>
      </c>
    </row>
    <row r="18" spans="1:9" x14ac:dyDescent="0.25">
      <c r="A18" s="69"/>
      <c r="B18" s="68"/>
      <c r="D18" s="61"/>
      <c r="E18" s="61"/>
      <c r="F18" s="61"/>
      <c r="G18" s="61"/>
      <c r="H18" s="61"/>
      <c r="I18" s="61"/>
    </row>
    <row r="19" spans="1:9" x14ac:dyDescent="0.25">
      <c r="A19" s="23" t="s">
        <v>215</v>
      </c>
      <c r="B19" s="23"/>
    </row>
    <row r="20" spans="1:9" x14ac:dyDescent="0.25">
      <c r="A20" s="1" t="s">
        <v>206</v>
      </c>
      <c r="B20" s="1"/>
      <c r="D20" s="62">
        <f t="shared" ref="D20:I20" si="0">D16</f>
        <v>5301346699.0500002</v>
      </c>
      <c r="E20" s="62">
        <f t="shared" si="0"/>
        <v>4093062809.6999998</v>
      </c>
      <c r="F20" s="62">
        <f t="shared" si="0"/>
        <v>3157062575.6300001</v>
      </c>
      <c r="G20" s="62">
        <f t="shared" si="0"/>
        <v>2408174713.8899999</v>
      </c>
      <c r="H20" s="62">
        <f t="shared" si="0"/>
        <v>1680848412.0799999</v>
      </c>
      <c r="I20" s="62">
        <f t="shared" si="0"/>
        <v>953153562.22000003</v>
      </c>
    </row>
    <row r="21" spans="1:9" x14ac:dyDescent="0.25">
      <c r="A21" s="1" t="s">
        <v>216</v>
      </c>
      <c r="B21" s="1"/>
      <c r="D21" s="62">
        <f t="shared" ref="D21:I21" si="1">D3-D20</f>
        <v>7511132204.1199999</v>
      </c>
      <c r="E21" s="62">
        <f t="shared" si="1"/>
        <v>7299054943.04</v>
      </c>
      <c r="F21" s="62">
        <f t="shared" si="1"/>
        <v>7136704041.9800005</v>
      </c>
      <c r="G21" s="62">
        <f t="shared" si="1"/>
        <v>6811133530.6300011</v>
      </c>
      <c r="H21" s="62">
        <f t="shared" si="1"/>
        <v>5963361918.1100006</v>
      </c>
      <c r="I21" s="62">
        <f t="shared" si="1"/>
        <v>5342364002.3100004</v>
      </c>
    </row>
    <row r="22" spans="1:9" x14ac:dyDescent="0.25">
      <c r="A22" s="1"/>
      <c r="B22" s="1"/>
      <c r="D22" s="62"/>
      <c r="E22" s="62"/>
      <c r="F22" s="62"/>
      <c r="G22" s="62"/>
      <c r="H22" s="62"/>
      <c r="I22" s="62"/>
    </row>
    <row r="23" spans="1:9" x14ac:dyDescent="0.25">
      <c r="A23" s="12" t="s">
        <v>233</v>
      </c>
      <c r="B23" s="12"/>
      <c r="D23" s="61">
        <f>SUM(损益现金流!B29:B34)</f>
        <v>138819810.69000003</v>
      </c>
      <c r="E23" s="61">
        <f>SUM(损益现金流!C29:C34)</f>
        <v>147789705.37</v>
      </c>
      <c r="F23" s="61">
        <f>SUM(损益现金流!D29:D34)</f>
        <v>155501970.13999999</v>
      </c>
      <c r="G23" s="61">
        <f>SUM(损益现金流!E29:E34)</f>
        <v>107240766.59</v>
      </c>
      <c r="H23" s="61">
        <f>SUM(损益现金流!F29:F34)</f>
        <v>51310272.020000003</v>
      </c>
      <c r="I23" s="61">
        <f>SUM(损益现金流!G29:G34)</f>
        <v>39224629.560000002</v>
      </c>
    </row>
    <row r="24" spans="1:9" x14ac:dyDescent="0.25">
      <c r="A24" s="12" t="s">
        <v>234</v>
      </c>
      <c r="B24" s="12"/>
      <c r="D24" s="61">
        <f>损益现金流!B64</f>
        <v>174991782.06999999</v>
      </c>
      <c r="E24" s="61">
        <f>损益现金流!C64</f>
        <v>165848375.21000001</v>
      </c>
      <c r="F24" s="61">
        <f>损益现金流!D64</f>
        <v>175961847.84</v>
      </c>
      <c r="G24" s="61">
        <f>损益现金流!E64</f>
        <v>148845814.72</v>
      </c>
      <c r="H24" s="61">
        <f>损益现金流!F64</f>
        <v>55277440.82</v>
      </c>
      <c r="I24" s="61">
        <f>损益现金流!G64</f>
        <v>63210239.469999999</v>
      </c>
    </row>
    <row r="25" spans="1:9" x14ac:dyDescent="0.25">
      <c r="A25" s="1"/>
      <c r="B25" s="1"/>
      <c r="D25" s="62"/>
      <c r="E25" s="62"/>
      <c r="F25" s="62"/>
      <c r="G25" s="62"/>
      <c r="H25" s="62"/>
      <c r="I25" s="62"/>
    </row>
    <row r="26" spans="1:9" x14ac:dyDescent="0.25">
      <c r="A26" s="12" t="s">
        <v>52</v>
      </c>
      <c r="B26" s="75">
        <f>C26</f>
        <v>462525643</v>
      </c>
      <c r="C26" s="62">
        <f>D26</f>
        <v>462525643</v>
      </c>
      <c r="D26" s="61">
        <f>'balance sheet（处理后）'!C56</f>
        <v>462525643</v>
      </c>
      <c r="E26" s="61">
        <f>'balance sheet（处理后）'!D56</f>
        <v>461723327</v>
      </c>
      <c r="F26" s="61">
        <f>'balance sheet（处理后）'!E56</f>
        <v>461221529</v>
      </c>
      <c r="G26" s="61">
        <f>'balance sheet（处理后）'!F56</f>
        <v>461000000</v>
      </c>
      <c r="H26" s="61">
        <f>'balance sheet（处理后）'!G56</f>
        <v>461000000</v>
      </c>
      <c r="I26" s="61">
        <f>'balance sheet（处理后）'!H56</f>
        <v>461000000</v>
      </c>
    </row>
    <row r="27" spans="1:9" x14ac:dyDescent="0.25">
      <c r="A27" s="1"/>
      <c r="B27" s="1"/>
      <c r="D27" s="62"/>
      <c r="E27" s="62"/>
      <c r="F27" s="62"/>
      <c r="G27" s="62"/>
      <c r="H27" s="62"/>
      <c r="I27" s="62"/>
    </row>
    <row r="28" spans="1:9" x14ac:dyDescent="0.25">
      <c r="A28" s="23" t="s">
        <v>240</v>
      </c>
      <c r="B28" s="1"/>
      <c r="D28" s="62">
        <f>收入成本!B24</f>
        <v>5119462977.5699997</v>
      </c>
      <c r="E28" s="62">
        <f>收入成本!C24</f>
        <v>4553849522.46</v>
      </c>
      <c r="F28" s="62">
        <f>收入成本!D24</f>
        <v>3884184722.0999999</v>
      </c>
      <c r="G28" s="62">
        <f>收入成本!E24</f>
        <v>3279611105.1799998</v>
      </c>
      <c r="H28" s="62">
        <f>收入成本!F24</f>
        <v>2260735406.2800002</v>
      </c>
      <c r="I28" s="62">
        <f>收入成本!G24</f>
        <v>1579432078.8800001</v>
      </c>
    </row>
    <row r="29" spans="1:9" x14ac:dyDescent="0.25">
      <c r="A29" s="68" t="s">
        <v>241</v>
      </c>
      <c r="B29" s="1"/>
      <c r="D29" s="62">
        <f>收入成本!B25</f>
        <v>759785070.16999996</v>
      </c>
      <c r="E29" s="62">
        <f>收入成本!C25</f>
        <v>668780859.16999996</v>
      </c>
      <c r="F29" s="62">
        <f>收入成本!D25</f>
        <v>582273204.79999995</v>
      </c>
      <c r="G29" s="62">
        <f>收入成本!E25</f>
        <v>428906466.66000003</v>
      </c>
      <c r="H29" s="62">
        <f>收入成本!F25</f>
        <v>277898430.05000001</v>
      </c>
      <c r="I29" s="62">
        <f>收入成本!G25</f>
        <v>227670433.93000001</v>
      </c>
    </row>
    <row r="30" spans="1:9" x14ac:dyDescent="0.25">
      <c r="A30" s="68" t="s">
        <v>217</v>
      </c>
      <c r="B30" s="1"/>
      <c r="D30" s="62">
        <f>SUM(损益现金流!B5:B8)</f>
        <v>3138722640.3600001</v>
      </c>
      <c r="E30" s="62">
        <f>SUM(损益现金流!C5:C8)</f>
        <v>2921099710.9300003</v>
      </c>
      <c r="F30" s="62">
        <f>SUM(损益现金流!D5:D8)</f>
        <v>2576059314.0599999</v>
      </c>
      <c r="G30" s="62">
        <f>SUM(损益现金流!E5:E8)</f>
        <v>2137777444.1300001</v>
      </c>
      <c r="H30" s="62">
        <f>SUM(损益现金流!F5:F8)</f>
        <v>1429152563.25</v>
      </c>
      <c r="I30" s="62">
        <f>SUM(损益现金流!G5:G8)</f>
        <v>1095156856.24</v>
      </c>
    </row>
    <row r="31" spans="1:9" x14ac:dyDescent="0.25">
      <c r="A31" s="1" t="s">
        <v>65</v>
      </c>
      <c r="B31" s="1"/>
      <c r="D31" s="62">
        <f>损益现金流!B8</f>
        <v>1695556855.45</v>
      </c>
      <c r="E31" s="62">
        <f>损益现金流!C8</f>
        <v>1472295820.1400001</v>
      </c>
      <c r="F31" s="62">
        <f>损益现金流!D8</f>
        <v>1331210837.24</v>
      </c>
      <c r="G31" s="62">
        <f>损益现金流!E8</f>
        <v>1081624964.9400001</v>
      </c>
      <c r="H31" s="62">
        <f>损益现金流!F8</f>
        <v>710881894.57000005</v>
      </c>
      <c r="I31" s="62">
        <f>损益现金流!G8</f>
        <v>598785660.64999998</v>
      </c>
    </row>
    <row r="32" spans="1:9" x14ac:dyDescent="0.25">
      <c r="A32" s="1" t="s">
        <v>63</v>
      </c>
      <c r="B32" s="1"/>
      <c r="D32" s="62">
        <f>损益现金流!B6</f>
        <v>991332533.41999996</v>
      </c>
      <c r="E32" s="62">
        <f>损益现金流!C6</f>
        <v>967414538.98000002</v>
      </c>
      <c r="F32" s="62">
        <f>损益现金流!D6</f>
        <v>818201662.23000002</v>
      </c>
      <c r="G32" s="62">
        <f>损益现金流!E6</f>
        <v>694970174.65999997</v>
      </c>
      <c r="H32" s="62">
        <f>损益现金流!F6</f>
        <v>482807656.63</v>
      </c>
      <c r="I32" s="62">
        <f>损益现金流!G6</f>
        <v>344738048.44999999</v>
      </c>
    </row>
    <row r="33" spans="1:9" x14ac:dyDescent="0.25">
      <c r="A33" s="1" t="s">
        <v>64</v>
      </c>
      <c r="B33" s="1"/>
      <c r="D33" s="62">
        <f>损益现金流!B7</f>
        <v>402662886.67000002</v>
      </c>
      <c r="E33" s="62">
        <f>损益现金流!C7</f>
        <v>444227923.50999999</v>
      </c>
      <c r="F33" s="62">
        <f>损益现金流!D7</f>
        <v>391903092.19</v>
      </c>
      <c r="G33" s="62">
        <f>损益现金流!E7</f>
        <v>326003190.06</v>
      </c>
      <c r="H33" s="62">
        <f>损益现金流!F7</f>
        <v>212541090.58000001</v>
      </c>
      <c r="I33" s="62">
        <f>损益现金流!G7</f>
        <v>135696496.53999999</v>
      </c>
    </row>
    <row r="34" spans="1:9" x14ac:dyDescent="0.25">
      <c r="A34" s="68" t="s">
        <v>218</v>
      </c>
      <c r="B34" s="1"/>
      <c r="D34" s="62">
        <f>SUM(损益现金流!B9:B11)</f>
        <v>-23786291.57</v>
      </c>
      <c r="E34" s="62">
        <f>SUM(损益现金流!C9:C11)</f>
        <v>-18026045.449999999</v>
      </c>
      <c r="F34" s="62">
        <f>SUM(损益现金流!D9:D11)</f>
        <v>-24993543.720000003</v>
      </c>
      <c r="G34" s="62">
        <f>SUM(损益现金流!E9:E11)</f>
        <v>-11519371.100000001</v>
      </c>
      <c r="H34" s="62">
        <f>SUM(损益现金流!F9:F11)</f>
        <v>-4165620.05</v>
      </c>
      <c r="I34" s="62">
        <f>SUM(损益现金流!G9:G11)</f>
        <v>-7085347.9700000007</v>
      </c>
    </row>
    <row r="35" spans="1:9" x14ac:dyDescent="0.25">
      <c r="A35" s="77" t="s">
        <v>69</v>
      </c>
      <c r="B35" s="1"/>
      <c r="D35" s="62">
        <f>损益现金流!B12</f>
        <v>176123077.15000001</v>
      </c>
      <c r="E35" s="62">
        <f>损益现金流!C12</f>
        <v>142202996.34999999</v>
      </c>
      <c r="F35" s="62">
        <f>损益现金流!D12</f>
        <v>173048027.81999999</v>
      </c>
      <c r="G35" s="62">
        <f>损益现金流!E12</f>
        <v>198603883.15000001</v>
      </c>
      <c r="H35" s="62">
        <f>损益现金流!F12</f>
        <v>114719419.97</v>
      </c>
      <c r="I35" s="62">
        <f>损益现金流!G12</f>
        <v>67353894.480000004</v>
      </c>
    </row>
    <row r="36" spans="1:9" x14ac:dyDescent="0.25">
      <c r="A36" s="77" t="s">
        <v>242</v>
      </c>
      <c r="B36" s="1"/>
      <c r="D36" s="62">
        <f>损益现金流!B19</f>
        <v>299255264.49000001</v>
      </c>
      <c r="E36" s="62">
        <f>损益现金流!C19</f>
        <v>287736375.14999998</v>
      </c>
      <c r="F36" s="62">
        <f>损益现金流!D19</f>
        <v>266378018.22999999</v>
      </c>
      <c r="G36" s="62">
        <f>损益现金流!E19</f>
        <v>242234077.33000001</v>
      </c>
      <c r="H36" s="62">
        <f>损益现金流!F19</f>
        <v>196519541.31999999</v>
      </c>
      <c r="I36" s="62">
        <f>损益现金流!G19</f>
        <v>76939832.109999999</v>
      </c>
    </row>
    <row r="37" spans="1:9" x14ac:dyDescent="0.25">
      <c r="A37" s="77" t="s">
        <v>243</v>
      </c>
      <c r="B37" s="1"/>
      <c r="D37" s="62">
        <f>损益现金流!B22</f>
        <v>78723411.179999992</v>
      </c>
      <c r="E37" s="62">
        <f>损益现金流!C22</f>
        <v>33805899.93</v>
      </c>
      <c r="F37" s="62">
        <f>损益现金流!D22</f>
        <v>66723048.330000006</v>
      </c>
      <c r="G37" s="62">
        <f>损益现金流!E22</f>
        <v>-14148540.639999999</v>
      </c>
      <c r="H37" s="62">
        <f>损益现金流!F22</f>
        <v>75669097.110000014</v>
      </c>
      <c r="I37" s="62">
        <f>损益现金流!G22</f>
        <v>8674326.6099999994</v>
      </c>
    </row>
    <row r="38" spans="1:9" x14ac:dyDescent="0.25">
      <c r="A38" s="77" t="s">
        <v>244</v>
      </c>
      <c r="B38" s="1"/>
      <c r="D38" s="62">
        <f>损益现金流!B24</f>
        <v>0</v>
      </c>
      <c r="E38" s="62">
        <f>损益现金流!C24</f>
        <v>0</v>
      </c>
      <c r="F38" s="62">
        <f>损益现金流!D24</f>
        <v>0</v>
      </c>
      <c r="G38" s="62">
        <f>损益现金流!E24</f>
        <v>0</v>
      </c>
      <c r="H38" s="62">
        <f>损益现金流!F24</f>
        <v>0</v>
      </c>
      <c r="I38" s="62">
        <f>损益现金流!G24</f>
        <v>0</v>
      </c>
    </row>
    <row r="39" spans="1:9" x14ac:dyDescent="0.25">
      <c r="A39" s="77" t="s">
        <v>81</v>
      </c>
      <c r="B39" s="1"/>
      <c r="D39" s="62">
        <f>损益现金流!B25</f>
        <v>10620632.5</v>
      </c>
      <c r="E39" s="62">
        <f>损益现金流!C25</f>
        <v>10167473.42</v>
      </c>
      <c r="F39" s="62">
        <f>损益现金流!D25</f>
        <v>10583095.219999999</v>
      </c>
      <c r="G39" s="62">
        <f>损益现金流!E25</f>
        <v>6802562.5099999979</v>
      </c>
      <c r="H39" s="62">
        <f>损益现金流!F25</f>
        <v>1049480.1600000001</v>
      </c>
      <c r="I39" s="62">
        <f>损益现金流!G25</f>
        <v>833619.91999999993</v>
      </c>
    </row>
    <row r="40" spans="1:9" x14ac:dyDescent="0.25">
      <c r="A40" s="77" t="s">
        <v>197</v>
      </c>
      <c r="B40" s="1"/>
      <c r="D40" s="62"/>
      <c r="E40" s="62"/>
      <c r="F40" s="62"/>
      <c r="G40" s="62"/>
      <c r="H40" s="62"/>
      <c r="I40" s="62"/>
    </row>
    <row r="41" spans="1:9" x14ac:dyDescent="0.25">
      <c r="A41" s="68" t="s">
        <v>180</v>
      </c>
      <c r="D41" s="54">
        <f>收入成本!B28</f>
        <v>1375821.25</v>
      </c>
      <c r="E41" s="54">
        <f>收入成本!C28</f>
        <v>2118764.9300000002</v>
      </c>
      <c r="F41" s="54">
        <f>收入成本!D28</f>
        <v>774759.28</v>
      </c>
      <c r="G41" s="54">
        <f>收入成本!E28</f>
        <v>447652.85</v>
      </c>
      <c r="H41" s="54">
        <f>收入成本!F28</f>
        <v>232986.85</v>
      </c>
      <c r="I41" s="54">
        <f>收入成本!G28</f>
        <v>88531.37</v>
      </c>
    </row>
    <row r="42" spans="1:9" x14ac:dyDescent="0.25">
      <c r="A42" s="68" t="s">
        <v>189</v>
      </c>
      <c r="D42" s="54">
        <f>收入成本!B29</f>
        <v>976847.73</v>
      </c>
      <c r="E42" s="54">
        <f>收入成本!C29</f>
        <v>1059280.01</v>
      </c>
      <c r="F42" s="54">
        <f>收入成本!D29</f>
        <v>637454.61</v>
      </c>
      <c r="G42" s="54">
        <f>收入成本!E29</f>
        <v>446317.47</v>
      </c>
      <c r="H42" s="54">
        <f>收入成本!F29</f>
        <v>236511.47</v>
      </c>
      <c r="I42" s="54">
        <f>收入成本!G29</f>
        <v>95300</v>
      </c>
    </row>
    <row r="43" spans="1:9" x14ac:dyDescent="0.25">
      <c r="A43" s="12" t="s">
        <v>219</v>
      </c>
    </row>
    <row r="44" spans="1:9" x14ac:dyDescent="0.25">
      <c r="A44" s="68" t="s">
        <v>180</v>
      </c>
      <c r="D44" s="2">
        <f>损益现金流!B13</f>
        <v>3918649.74</v>
      </c>
      <c r="E44" s="2">
        <f>损益现金流!C13</f>
        <v>1470784.01</v>
      </c>
      <c r="F44" s="2">
        <f>损益现金流!D13</f>
        <v>2197939.33</v>
      </c>
      <c r="G44" s="2">
        <f>损益现金流!E13</f>
        <v>3618260.56</v>
      </c>
      <c r="H44" s="2">
        <f>损益现金流!F13</f>
        <v>807603.11</v>
      </c>
      <c r="I44" s="2">
        <f>损益现金流!G13</f>
        <v>0</v>
      </c>
    </row>
    <row r="45" spans="1:9" x14ac:dyDescent="0.25">
      <c r="A45" s="68" t="s">
        <v>189</v>
      </c>
      <c r="D45" s="2">
        <f>损益现金流!B14</f>
        <v>-5455007.2800000003</v>
      </c>
      <c r="E45" s="2">
        <f>损益现金流!C14</f>
        <v>12211501.880000001</v>
      </c>
      <c r="F45" s="2">
        <f>损益现金流!D14</f>
        <v>517546.52</v>
      </c>
      <c r="G45" s="2">
        <f>损益现金流!E14</f>
        <v>6203330.6900000004</v>
      </c>
      <c r="H45" s="2">
        <f>损益现金流!F14</f>
        <v>318305.78999999998</v>
      </c>
      <c r="I45" s="2">
        <f>损益现金流!G14</f>
        <v>-4724895.26</v>
      </c>
    </row>
    <row r="46" spans="1:9" x14ac:dyDescent="0.25">
      <c r="A46" s="77" t="s">
        <v>84</v>
      </c>
      <c r="D46" s="2">
        <f>损益现金流!B27</f>
        <v>95138661.450000003</v>
      </c>
      <c r="E46" s="2">
        <f>损益现金流!C27</f>
        <v>75377800.689999998</v>
      </c>
      <c r="F46" s="2">
        <f>损益现金流!D27</f>
        <v>67317888.879999995</v>
      </c>
      <c r="G46" s="2">
        <f>损益现金流!E27</f>
        <v>49759283.880000003</v>
      </c>
      <c r="H46" s="2">
        <f>损益现金流!F27</f>
        <v>49289324.130000003</v>
      </c>
      <c r="I46" s="2">
        <f>损益现金流!G27</f>
        <v>5792795.7199999997</v>
      </c>
    </row>
    <row r="49" spans="1:9" x14ac:dyDescent="0.25">
      <c r="A49" s="79" t="s">
        <v>245</v>
      </c>
    </row>
    <row r="50" spans="1:9" x14ac:dyDescent="0.25">
      <c r="A50" s="80" t="s">
        <v>240</v>
      </c>
      <c r="B50" s="90"/>
      <c r="C50" s="90"/>
      <c r="D50" s="91">
        <f>D28</f>
        <v>5119462977.5699997</v>
      </c>
      <c r="E50" s="91">
        <f t="shared" ref="E50:I50" si="2">E28</f>
        <v>4553849522.46</v>
      </c>
      <c r="F50" s="91">
        <f t="shared" si="2"/>
        <v>3884184722.0999999</v>
      </c>
      <c r="G50" s="91">
        <f t="shared" si="2"/>
        <v>3279611105.1799998</v>
      </c>
      <c r="H50" s="91">
        <f t="shared" si="2"/>
        <v>2260735406.2800002</v>
      </c>
      <c r="I50" s="91">
        <f t="shared" si="2"/>
        <v>1579432078.8800001</v>
      </c>
    </row>
    <row r="51" spans="1:9" x14ac:dyDescent="0.25">
      <c r="A51" s="1" t="s">
        <v>241</v>
      </c>
      <c r="B51" s="23"/>
      <c r="D51" s="89">
        <f>D29</f>
        <v>759785070.16999996</v>
      </c>
      <c r="E51" s="89">
        <f t="shared" ref="E51:I51" si="3">E29</f>
        <v>668780859.16999996</v>
      </c>
      <c r="F51" s="89">
        <f t="shared" si="3"/>
        <v>582273204.79999995</v>
      </c>
      <c r="G51" s="89">
        <f t="shared" si="3"/>
        <v>428906466.66000003</v>
      </c>
      <c r="H51" s="89">
        <f t="shared" si="3"/>
        <v>277898430.05000001</v>
      </c>
      <c r="I51" s="89">
        <f t="shared" si="3"/>
        <v>227670433.93000001</v>
      </c>
    </row>
    <row r="52" spans="1:9" x14ac:dyDescent="0.25">
      <c r="A52" s="1" t="s">
        <v>217</v>
      </c>
      <c r="B52" s="68"/>
      <c r="D52" s="89">
        <f>D30</f>
        <v>3138722640.3600001</v>
      </c>
      <c r="E52" s="89">
        <f t="shared" ref="E52:I52" si="4">E30</f>
        <v>2921099710.9300003</v>
      </c>
      <c r="F52" s="89">
        <f t="shared" si="4"/>
        <v>2576059314.0599999</v>
      </c>
      <c r="G52" s="89">
        <f t="shared" si="4"/>
        <v>2137777444.1300001</v>
      </c>
      <c r="H52" s="89">
        <f t="shared" si="4"/>
        <v>1429152563.25</v>
      </c>
      <c r="I52" s="89">
        <f t="shared" si="4"/>
        <v>1095156856.24</v>
      </c>
    </row>
    <row r="53" spans="1:9" x14ac:dyDescent="0.25">
      <c r="A53" s="1" t="s">
        <v>218</v>
      </c>
      <c r="B53" s="68"/>
      <c r="D53" s="89">
        <f>D34</f>
        <v>-23786291.57</v>
      </c>
      <c r="E53" s="89">
        <f t="shared" ref="E53:I53" si="5">E34</f>
        <v>-18026045.449999999</v>
      </c>
      <c r="F53" s="89">
        <f t="shared" si="5"/>
        <v>-24993543.720000003</v>
      </c>
      <c r="G53" s="89">
        <f t="shared" si="5"/>
        <v>-11519371.100000001</v>
      </c>
      <c r="H53" s="89">
        <f t="shared" si="5"/>
        <v>-4165620.05</v>
      </c>
      <c r="I53" s="89">
        <f t="shared" si="5"/>
        <v>-7085347.9700000007</v>
      </c>
    </row>
    <row r="54" spans="1:9" x14ac:dyDescent="0.25">
      <c r="A54" s="1" t="s">
        <v>69</v>
      </c>
      <c r="B54" s="1"/>
      <c r="D54" s="89">
        <f>D35</f>
        <v>176123077.15000001</v>
      </c>
      <c r="E54" s="89">
        <f t="shared" ref="E54:I54" si="6">E35</f>
        <v>142202996.34999999</v>
      </c>
      <c r="F54" s="89">
        <f t="shared" si="6"/>
        <v>173048027.81999999</v>
      </c>
      <c r="G54" s="89">
        <f t="shared" si="6"/>
        <v>198603883.15000001</v>
      </c>
      <c r="H54" s="89">
        <f t="shared" si="6"/>
        <v>114719419.97</v>
      </c>
      <c r="I54" s="89">
        <f t="shared" si="6"/>
        <v>67353894.480000004</v>
      </c>
    </row>
    <row r="55" spans="1:9" x14ac:dyDescent="0.25">
      <c r="A55" s="1" t="s">
        <v>242</v>
      </c>
      <c r="B55" s="68"/>
      <c r="D55" s="89">
        <f>D36</f>
        <v>299255264.49000001</v>
      </c>
      <c r="E55" s="89">
        <f t="shared" ref="E55:I55" si="7">E36</f>
        <v>287736375.14999998</v>
      </c>
      <c r="F55" s="89">
        <f t="shared" si="7"/>
        <v>266378018.22999999</v>
      </c>
      <c r="G55" s="89">
        <f t="shared" si="7"/>
        <v>242234077.33000001</v>
      </c>
      <c r="H55" s="89">
        <f t="shared" si="7"/>
        <v>196519541.31999999</v>
      </c>
      <c r="I55" s="89">
        <f t="shared" si="7"/>
        <v>76939832.109999999</v>
      </c>
    </row>
    <row r="56" spans="1:9" x14ac:dyDescent="0.25">
      <c r="A56" s="1" t="s">
        <v>244</v>
      </c>
      <c r="B56" s="68"/>
      <c r="D56" s="89">
        <f>D38</f>
        <v>0</v>
      </c>
      <c r="E56" s="89">
        <f t="shared" ref="E56:I56" si="8">E38</f>
        <v>0</v>
      </c>
      <c r="F56" s="89">
        <f t="shared" si="8"/>
        <v>0</v>
      </c>
      <c r="G56" s="89">
        <f t="shared" si="8"/>
        <v>0</v>
      </c>
      <c r="H56" s="89">
        <f t="shared" si="8"/>
        <v>0</v>
      </c>
      <c r="I56" s="89">
        <f t="shared" si="8"/>
        <v>0</v>
      </c>
    </row>
    <row r="57" spans="1:9" x14ac:dyDescent="0.25">
      <c r="A57" s="1" t="s">
        <v>81</v>
      </c>
      <c r="B57" s="12"/>
      <c r="D57" s="89">
        <f>D39</f>
        <v>10620632.5</v>
      </c>
      <c r="E57" s="89">
        <f t="shared" ref="E57:I57" si="9">E39</f>
        <v>10167473.42</v>
      </c>
      <c r="F57" s="89">
        <f t="shared" si="9"/>
        <v>10583095.219999999</v>
      </c>
      <c r="G57" s="89">
        <f t="shared" si="9"/>
        <v>6802562.5099999979</v>
      </c>
      <c r="H57" s="89">
        <f t="shared" si="9"/>
        <v>1049480.1600000001</v>
      </c>
      <c r="I57" s="89">
        <f t="shared" si="9"/>
        <v>833619.91999999993</v>
      </c>
    </row>
    <row r="58" spans="1:9" x14ac:dyDescent="0.25">
      <c r="A58" s="1" t="s">
        <v>84</v>
      </c>
      <c r="B58" s="68"/>
      <c r="D58" s="89">
        <f>D46</f>
        <v>95138661.450000003</v>
      </c>
      <c r="E58" s="89">
        <f t="shared" ref="E58:I58" si="10">E46</f>
        <v>75377800.689999998</v>
      </c>
      <c r="F58" s="89">
        <f t="shared" si="10"/>
        <v>67317888.879999995</v>
      </c>
      <c r="G58" s="89">
        <f t="shared" si="10"/>
        <v>49759283.880000003</v>
      </c>
      <c r="H58" s="89">
        <f t="shared" si="10"/>
        <v>49289324.130000003</v>
      </c>
      <c r="I58" s="89">
        <f t="shared" si="10"/>
        <v>5792795.7199999997</v>
      </c>
    </row>
    <row r="59" spans="1:9" x14ac:dyDescent="0.25">
      <c r="A59" s="80" t="s">
        <v>221</v>
      </c>
      <c r="B59" s="107">
        <f>D59*1.3</f>
        <v>2036824430.1079996</v>
      </c>
      <c r="C59" s="91">
        <f>D59</f>
        <v>1566788023.1599996</v>
      </c>
      <c r="D59" s="92">
        <f>D50-D51-D52+D53+D54+D55-D56-D57-D58</f>
        <v>1566788023.1599996</v>
      </c>
      <c r="E59" s="92">
        <f t="shared" ref="E59:I59" si="11">E50-E51-E52+E53+E54+E55-E56-E57-E58</f>
        <v>1290337004.2999992</v>
      </c>
      <c r="F59" s="92">
        <f t="shared" si="11"/>
        <v>1062383721.4700001</v>
      </c>
      <c r="G59" s="92">
        <f t="shared" si="11"/>
        <v>1085683937.3799996</v>
      </c>
      <c r="H59" s="92">
        <f t="shared" si="11"/>
        <v>810418949.93000031</v>
      </c>
      <c r="I59" s="92">
        <f t="shared" si="11"/>
        <v>387186751.69</v>
      </c>
    </row>
    <row r="60" spans="1:9" x14ac:dyDescent="0.25">
      <c r="A60" s="1" t="s">
        <v>243</v>
      </c>
      <c r="B60" s="68"/>
      <c r="D60" s="89">
        <f>D37</f>
        <v>78723411.179999992</v>
      </c>
      <c r="E60" s="89">
        <f t="shared" ref="E60:I60" si="12">E37</f>
        <v>33805899.93</v>
      </c>
      <c r="F60" s="89">
        <f t="shared" si="12"/>
        <v>66723048.330000006</v>
      </c>
      <c r="G60" s="89">
        <f t="shared" si="12"/>
        <v>-14148540.639999999</v>
      </c>
      <c r="H60" s="89">
        <f t="shared" si="12"/>
        <v>75669097.110000014</v>
      </c>
      <c r="I60" s="89">
        <f t="shared" si="12"/>
        <v>8674326.6099999994</v>
      </c>
    </row>
    <row r="61" spans="1:9" x14ac:dyDescent="0.25">
      <c r="A61" s="1" t="s">
        <v>246</v>
      </c>
      <c r="D61" s="88">
        <f>D41-D42</f>
        <v>398973.52</v>
      </c>
      <c r="E61" s="88">
        <f t="shared" ref="E61:I61" si="13">E41-E42</f>
        <v>1059484.9200000002</v>
      </c>
      <c r="F61" s="88">
        <f t="shared" si="13"/>
        <v>137304.67000000004</v>
      </c>
      <c r="G61" s="88">
        <f t="shared" si="13"/>
        <v>1335.3800000000047</v>
      </c>
      <c r="H61" s="88">
        <f t="shared" si="13"/>
        <v>-3524.6199999999953</v>
      </c>
      <c r="I61" s="88">
        <f t="shared" si="13"/>
        <v>-6768.6300000000047</v>
      </c>
    </row>
    <row r="62" spans="1:9" x14ac:dyDescent="0.25">
      <c r="A62" s="1" t="s">
        <v>220</v>
      </c>
      <c r="D62" s="88">
        <f>D44-D45</f>
        <v>9373657.0199999996</v>
      </c>
      <c r="E62" s="88">
        <f t="shared" ref="E62:I62" si="14">E44-E45</f>
        <v>-10740717.870000001</v>
      </c>
      <c r="F62" s="88">
        <f t="shared" si="14"/>
        <v>1680392.81</v>
      </c>
      <c r="G62" s="88">
        <f t="shared" si="14"/>
        <v>-2585070.1300000004</v>
      </c>
      <c r="H62" s="88">
        <f t="shared" si="14"/>
        <v>489297.32</v>
      </c>
      <c r="I62" s="88">
        <f t="shared" si="14"/>
        <v>4724895.26</v>
      </c>
    </row>
    <row r="63" spans="1:9" x14ac:dyDescent="0.25">
      <c r="A63" s="1" t="s">
        <v>85</v>
      </c>
      <c r="B63" s="1"/>
      <c r="D63" s="89">
        <f>SUM(D59:D62)</f>
        <v>1655284064.8799996</v>
      </c>
      <c r="E63" s="89">
        <f t="shared" ref="E63:I63" si="15">SUM(E59:E62)</f>
        <v>1314461671.2799995</v>
      </c>
      <c r="F63" s="89">
        <f t="shared" si="15"/>
        <v>1130924467.2800002</v>
      </c>
      <c r="G63" s="89">
        <f t="shared" si="15"/>
        <v>1068951661.9899997</v>
      </c>
      <c r="H63" s="89">
        <f t="shared" si="15"/>
        <v>886573819.74000037</v>
      </c>
      <c r="I63" s="89">
        <f t="shared" si="15"/>
        <v>400579204.93000001</v>
      </c>
    </row>
    <row r="64" spans="1:9" x14ac:dyDescent="0.25">
      <c r="A64" s="1" t="s">
        <v>235</v>
      </c>
      <c r="B64" s="12"/>
      <c r="D64" s="89">
        <f>D17</f>
        <v>415991268.89999998</v>
      </c>
      <c r="E64" s="89">
        <f t="shared" ref="E64:I64" si="16">E17</f>
        <v>406291755.75999999</v>
      </c>
      <c r="F64" s="89">
        <f t="shared" si="16"/>
        <v>322700000</v>
      </c>
      <c r="G64" s="89">
        <f t="shared" si="16"/>
        <v>0</v>
      </c>
      <c r="H64" s="89">
        <f t="shared" si="16"/>
        <v>276600000</v>
      </c>
      <c r="I64" s="89">
        <f t="shared" si="16"/>
        <v>138300000</v>
      </c>
    </row>
    <row r="65" spans="1:9" x14ac:dyDescent="0.25">
      <c r="A65" s="80" t="s">
        <v>206</v>
      </c>
      <c r="B65" s="87"/>
      <c r="C65" s="90"/>
      <c r="D65" s="92">
        <f>D63-D64</f>
        <v>1239292795.9799995</v>
      </c>
      <c r="E65" s="92">
        <f t="shared" ref="E65:I65" si="17">E63-E64</f>
        <v>908169915.5199995</v>
      </c>
      <c r="F65" s="92">
        <f t="shared" si="17"/>
        <v>808224467.28000021</v>
      </c>
      <c r="G65" s="92">
        <f t="shared" si="17"/>
        <v>1068951661.9899997</v>
      </c>
      <c r="H65" s="92">
        <f t="shared" si="17"/>
        <v>609973819.74000037</v>
      </c>
      <c r="I65" s="92">
        <f t="shared" si="17"/>
        <v>262279204.93000001</v>
      </c>
    </row>
    <row r="66" spans="1:9" x14ac:dyDescent="0.25">
      <c r="A66" s="1" t="s">
        <v>233</v>
      </c>
      <c r="B66" s="23"/>
      <c r="D66" s="89">
        <f>D23</f>
        <v>138819810.69000003</v>
      </c>
      <c r="E66" s="89">
        <f t="shared" ref="E66:I66" si="18">E23</f>
        <v>147789705.37</v>
      </c>
      <c r="F66" s="89">
        <f t="shared" si="18"/>
        <v>155501970.13999999</v>
      </c>
      <c r="G66" s="89">
        <f t="shared" si="18"/>
        <v>107240766.59</v>
      </c>
      <c r="H66" s="89">
        <f t="shared" si="18"/>
        <v>51310272.020000003</v>
      </c>
      <c r="I66" s="89">
        <f t="shared" si="18"/>
        <v>39224629.560000002</v>
      </c>
    </row>
    <row r="67" spans="1:9" x14ac:dyDescent="0.25">
      <c r="A67" s="1" t="s">
        <v>247</v>
      </c>
      <c r="B67" s="23"/>
      <c r="D67" s="89">
        <f>D24</f>
        <v>174991782.06999999</v>
      </c>
      <c r="E67" s="89">
        <f t="shared" ref="E67:I67" si="19">E24</f>
        <v>165848375.21000001</v>
      </c>
      <c r="F67" s="89">
        <f t="shared" si="19"/>
        <v>175961847.84</v>
      </c>
      <c r="G67" s="89">
        <f t="shared" si="19"/>
        <v>148845814.72</v>
      </c>
      <c r="H67" s="89">
        <f t="shared" si="19"/>
        <v>55277440.82</v>
      </c>
      <c r="I67" s="89">
        <f t="shared" si="19"/>
        <v>63210239.469999999</v>
      </c>
    </row>
    <row r="68" spans="1:9" x14ac:dyDescent="0.25">
      <c r="A68" s="80" t="s">
        <v>248</v>
      </c>
      <c r="B68" s="93"/>
      <c r="C68" s="90"/>
      <c r="D68" s="92">
        <f t="shared" ref="D68:I68" si="20">D65+D66-D67</f>
        <v>1203120824.5999997</v>
      </c>
      <c r="E68" s="92">
        <f t="shared" si="20"/>
        <v>890111245.67999947</v>
      </c>
      <c r="F68" s="92">
        <f t="shared" si="20"/>
        <v>787764589.58000016</v>
      </c>
      <c r="G68" s="92">
        <f t="shared" si="20"/>
        <v>1027346613.8599997</v>
      </c>
      <c r="H68" s="92">
        <f t="shared" si="20"/>
        <v>606006650.9400003</v>
      </c>
      <c r="I68" s="92">
        <f t="shared" si="20"/>
        <v>238293595.02000001</v>
      </c>
    </row>
    <row r="69" spans="1:9" x14ac:dyDescent="0.25">
      <c r="A69" s="80" t="s">
        <v>249</v>
      </c>
      <c r="B69" s="93"/>
      <c r="C69" s="90"/>
      <c r="D69" s="92">
        <f>D63+D66-D67</f>
        <v>1619112093.4999998</v>
      </c>
      <c r="E69" s="92">
        <f t="shared" ref="E69:I69" si="21">E63+E66-E67</f>
        <v>1296403001.4399996</v>
      </c>
      <c r="F69" s="92">
        <f t="shared" si="21"/>
        <v>1110464589.5800002</v>
      </c>
      <c r="G69" s="92">
        <f t="shared" si="21"/>
        <v>1027346613.8599997</v>
      </c>
      <c r="H69" s="92">
        <f t="shared" si="21"/>
        <v>882606650.9400003</v>
      </c>
      <c r="I69" s="92">
        <f t="shared" si="21"/>
        <v>376593595.01999998</v>
      </c>
    </row>
    <row r="70" spans="1:9" x14ac:dyDescent="0.25">
      <c r="A70" s="81"/>
      <c r="B70" s="23"/>
      <c r="D70" s="62"/>
      <c r="E70" s="62"/>
      <c r="F70" s="62"/>
      <c r="G70" s="62"/>
      <c r="H70" s="62"/>
      <c r="I70" s="62"/>
    </row>
    <row r="71" spans="1:9" x14ac:dyDescent="0.25">
      <c r="A71" s="77" t="s">
        <v>250</v>
      </c>
      <c r="B71" s="23"/>
      <c r="D71" s="62"/>
      <c r="E71" s="62"/>
      <c r="F71" s="62"/>
      <c r="G71" s="62"/>
      <c r="H71" s="62"/>
      <c r="I71" s="62"/>
    </row>
    <row r="72" spans="1:9" x14ac:dyDescent="0.25">
      <c r="A72" s="59" t="s">
        <v>61</v>
      </c>
      <c r="D72" s="94">
        <f>1-D29/D28</f>
        <v>0.85158891205994447</v>
      </c>
      <c r="E72" s="94">
        <f t="shared" ref="E72:I72" si="22">1-E29/E28</f>
        <v>0.85313944699500677</v>
      </c>
      <c r="F72" s="94">
        <f t="shared" si="22"/>
        <v>0.85009126844894456</v>
      </c>
      <c r="G72" s="94">
        <f t="shared" si="22"/>
        <v>0.8692203273788891</v>
      </c>
      <c r="H72" s="94">
        <f t="shared" si="22"/>
        <v>0.87707609246175477</v>
      </c>
      <c r="I72" s="94">
        <f t="shared" si="22"/>
        <v>0.85585297590546305</v>
      </c>
    </row>
    <row r="73" spans="1:9" x14ac:dyDescent="0.25">
      <c r="A73" s="59" t="s">
        <v>201</v>
      </c>
      <c r="B73" s="23"/>
      <c r="C73" s="23"/>
      <c r="D73" s="72">
        <f>D30/D28</f>
        <v>0.61309607162152457</v>
      </c>
      <c r="E73" s="72">
        <f t="shared" ref="E73:I73" si="23">E30/E28</f>
        <v>0.64145723228729246</v>
      </c>
      <c r="F73" s="72">
        <f t="shared" si="23"/>
        <v>0.66321750852962602</v>
      </c>
      <c r="G73" s="72">
        <f t="shared" si="23"/>
        <v>0.65183870147087741</v>
      </c>
      <c r="H73" s="72">
        <f t="shared" si="23"/>
        <v>0.63216268444330914</v>
      </c>
      <c r="I73" s="72">
        <f t="shared" si="23"/>
        <v>0.69338648422070348</v>
      </c>
    </row>
    <row r="74" spans="1:9" x14ac:dyDescent="0.25">
      <c r="A74" s="59" t="s">
        <v>251</v>
      </c>
      <c r="B74" s="3"/>
      <c r="C74" s="23"/>
      <c r="D74" s="72">
        <f>D31/D28</f>
        <v>0.33119818677833507</v>
      </c>
      <c r="E74" s="72">
        <f t="shared" ref="E74:I74" si="24">E31/E28</f>
        <v>0.32330796458655542</v>
      </c>
      <c r="F74" s="72">
        <f t="shared" si="24"/>
        <v>0.34272593413638563</v>
      </c>
      <c r="G74" s="72">
        <f t="shared" si="24"/>
        <v>0.32980281205647266</v>
      </c>
      <c r="H74" s="72">
        <f t="shared" si="24"/>
        <v>0.31444718943900807</v>
      </c>
      <c r="I74" s="72">
        <f t="shared" si="24"/>
        <v>0.3791145365836866</v>
      </c>
    </row>
    <row r="75" spans="1:9" x14ac:dyDescent="0.25">
      <c r="A75" s="59" t="s">
        <v>252</v>
      </c>
      <c r="B75" s="3"/>
      <c r="C75" s="23"/>
      <c r="D75" s="72">
        <f>D32/D28</f>
        <v>0.19363994578402929</v>
      </c>
      <c r="E75" s="72">
        <f t="shared" ref="E75:I75" si="25">E32/E28</f>
        <v>0.21243884634497112</v>
      </c>
      <c r="F75" s="72">
        <f t="shared" si="25"/>
        <v>0.21064952384335522</v>
      </c>
      <c r="G75" s="72">
        <f t="shared" si="25"/>
        <v>0.21190627558320116</v>
      </c>
      <c r="H75" s="72">
        <f t="shared" si="25"/>
        <v>0.2135622131138519</v>
      </c>
      <c r="I75" s="72">
        <f t="shared" si="25"/>
        <v>0.21826709300121289</v>
      </c>
    </row>
    <row r="76" spans="1:9" x14ac:dyDescent="0.25">
      <c r="A76" s="59" t="s">
        <v>253</v>
      </c>
      <c r="B76" s="67"/>
      <c r="D76" s="63">
        <f>D33/D28</f>
        <v>7.8653344781316817E-2</v>
      </c>
      <c r="E76" s="63">
        <f t="shared" ref="E76:I76" si="26">E33/E28</f>
        <v>9.7549978610190671E-2</v>
      </c>
      <c r="F76" s="63">
        <f t="shared" si="26"/>
        <v>0.1008971303450563</v>
      </c>
      <c r="G76" s="63">
        <f t="shared" si="26"/>
        <v>9.9403002247764216E-2</v>
      </c>
      <c r="H76" s="63">
        <f t="shared" si="26"/>
        <v>9.4014138049765231E-2</v>
      </c>
      <c r="I76" s="63">
        <f t="shared" si="26"/>
        <v>8.5914740085705044E-2</v>
      </c>
    </row>
    <row r="77" spans="1:9" x14ac:dyDescent="0.25">
      <c r="A77" s="59" t="s">
        <v>143</v>
      </c>
      <c r="B77" s="67"/>
      <c r="D77" s="63">
        <f>D59/D28</f>
        <v>0.30604538601501713</v>
      </c>
      <c r="E77" s="63">
        <f t="shared" ref="E77:I77" si="27">E59/E28</f>
        <v>0.28335082174673093</v>
      </c>
      <c r="F77" s="63">
        <f t="shared" si="27"/>
        <v>0.2735152412873964</v>
      </c>
      <c r="G77" s="63">
        <f t="shared" si="27"/>
        <v>0.33104045039523439</v>
      </c>
      <c r="H77" s="63">
        <f t="shared" si="27"/>
        <v>0.35847580733188511</v>
      </c>
      <c r="I77" s="63">
        <f t="shared" si="27"/>
        <v>0.24514302125898327</v>
      </c>
    </row>
    <row r="78" spans="1:9" x14ac:dyDescent="0.25">
      <c r="A78" s="77"/>
      <c r="B78" s="3"/>
      <c r="C78" s="23"/>
      <c r="D78" s="95"/>
      <c r="E78" s="95"/>
      <c r="F78" s="95"/>
      <c r="G78" s="95"/>
      <c r="H78" s="95"/>
      <c r="I78" s="95"/>
    </row>
    <row r="79" spans="1:9" x14ac:dyDescent="0.25">
      <c r="A79" s="59" t="s">
        <v>227</v>
      </c>
      <c r="B79" s="3"/>
      <c r="C79" s="23"/>
      <c r="D79" s="72">
        <f>D6/D28</f>
        <v>9.9595741563896945E-2</v>
      </c>
      <c r="E79" s="72">
        <f t="shared" ref="E79:I79" si="28">E6/E28</f>
        <v>0.1249537002295618</v>
      </c>
      <c r="F79" s="72">
        <f t="shared" si="28"/>
        <v>0.12878874234373272</v>
      </c>
      <c r="G79" s="72">
        <f t="shared" si="28"/>
        <v>0.12659986555241648</v>
      </c>
      <c r="H79" s="72">
        <f t="shared" si="28"/>
        <v>0.17713235172838396</v>
      </c>
      <c r="I79" s="72">
        <f t="shared" si="28"/>
        <v>0.21976856230255928</v>
      </c>
    </row>
    <row r="80" spans="1:9" x14ac:dyDescent="0.25">
      <c r="A80" s="59" t="s">
        <v>254</v>
      </c>
      <c r="D80" s="88">
        <f>D28/D6</f>
        <v>10.040589931833953</v>
      </c>
      <c r="E80" s="88">
        <f t="shared" ref="E80:I80" si="29">E28/E6</f>
        <v>8.0029642832731245</v>
      </c>
      <c r="F80" s="88">
        <f t="shared" si="29"/>
        <v>7.7646538183518743</v>
      </c>
      <c r="G80" s="88">
        <f t="shared" si="29"/>
        <v>7.8989025433519702</v>
      </c>
      <c r="H80" s="88">
        <f t="shared" si="29"/>
        <v>5.6454960951086299</v>
      </c>
      <c r="I80" s="88">
        <f t="shared" si="29"/>
        <v>4.5502413517329305</v>
      </c>
    </row>
    <row r="81" spans="1:9" x14ac:dyDescent="0.25">
      <c r="A81" s="59" t="s">
        <v>226</v>
      </c>
      <c r="B81" s="23"/>
      <c r="C81" s="23"/>
      <c r="D81" s="96">
        <f>D29/D8</f>
        <v>947.31967496696097</v>
      </c>
      <c r="E81" s="96">
        <f t="shared" ref="E81:I81" si="30">E29/E8</f>
        <v>473.37679009215532</v>
      </c>
      <c r="F81" s="96">
        <f t="shared" si="30"/>
        <v>502.84099218521669</v>
      </c>
      <c r="G81" s="96">
        <f t="shared" si="30"/>
        <v>186.74860119939387</v>
      </c>
      <c r="H81" s="96">
        <f t="shared" si="30"/>
        <v>206.16440395442032</v>
      </c>
      <c r="I81" s="96">
        <f t="shared" si="30"/>
        <v>159.42145082640823</v>
      </c>
    </row>
    <row r="82" spans="1:9" x14ac:dyDescent="0.25">
      <c r="A82" s="59" t="s">
        <v>255</v>
      </c>
      <c r="B82" s="67"/>
      <c r="D82" s="63">
        <f>(D12-D7)/D29</f>
        <v>0.56842886476219789</v>
      </c>
      <c r="E82" s="63">
        <f t="shared" ref="E82:I82" si="31">(E12-E7)/E29</f>
        <v>0.64524433609770604</v>
      </c>
      <c r="F82" s="63">
        <f t="shared" si="31"/>
        <v>0.47865465716515493</v>
      </c>
      <c r="G82" s="63">
        <f t="shared" si="31"/>
        <v>0.43504845838082568</v>
      </c>
      <c r="H82" s="63">
        <f t="shared" si="31"/>
        <v>0.47501375997787859</v>
      </c>
      <c r="I82" s="63">
        <f t="shared" si="31"/>
        <v>0.24119788877322496</v>
      </c>
    </row>
    <row r="83" spans="1:9" x14ac:dyDescent="0.25">
      <c r="A83" s="59" t="s">
        <v>256</v>
      </c>
      <c r="B83" s="67"/>
      <c r="D83" s="63">
        <f>D11/D28</f>
        <v>0.60140770796655341</v>
      </c>
      <c r="E83" s="63">
        <f t="shared" ref="E83:I83" si="32">E11/E28</f>
        <v>0.54997711863501719</v>
      </c>
      <c r="F83" s="63">
        <f t="shared" si="32"/>
        <v>0.52740255932072522</v>
      </c>
      <c r="G83" s="63">
        <f t="shared" si="32"/>
        <v>0.48609905320237723</v>
      </c>
      <c r="H83" s="63">
        <f t="shared" si="32"/>
        <v>0.40591829063269991</v>
      </c>
      <c r="I83" s="63">
        <f t="shared" si="32"/>
        <v>0</v>
      </c>
    </row>
    <row r="84" spans="1:9" x14ac:dyDescent="0.25">
      <c r="A84" s="59" t="s">
        <v>257</v>
      </c>
      <c r="B84" s="67"/>
      <c r="D84" s="63">
        <f>D56/D59</f>
        <v>0</v>
      </c>
      <c r="E84" s="63">
        <f t="shared" ref="E84:I84" si="33">E56/E59</f>
        <v>0</v>
      </c>
      <c r="F84" s="63">
        <f t="shared" si="33"/>
        <v>0</v>
      </c>
      <c r="G84" s="63">
        <f t="shared" si="33"/>
        <v>0</v>
      </c>
      <c r="H84" s="63">
        <f t="shared" si="33"/>
        <v>0</v>
      </c>
      <c r="I84" s="63">
        <f t="shared" si="33"/>
        <v>0</v>
      </c>
    </row>
    <row r="85" spans="1:9" x14ac:dyDescent="0.25">
      <c r="A85" s="59" t="s">
        <v>258</v>
      </c>
      <c r="B85" s="67"/>
      <c r="D85" s="63">
        <f>D23/D9</f>
        <v>0.17606307813638461</v>
      </c>
      <c r="E85" s="63">
        <f t="shared" ref="E85:I85" si="34">E23/E9</f>
        <v>0.20937673467984114</v>
      </c>
      <c r="F85" s="63">
        <f t="shared" si="34"/>
        <v>0.24874550519845479</v>
      </c>
      <c r="G85" s="63">
        <f t="shared" si="34"/>
        <v>0.21324974863703614</v>
      </c>
      <c r="H85" s="63">
        <f t="shared" si="34"/>
        <v>0.16129046462026919</v>
      </c>
      <c r="I85" s="63">
        <f t="shared" si="34"/>
        <v>0.40963577501759063</v>
      </c>
    </row>
    <row r="86" spans="1:9" x14ac:dyDescent="0.25">
      <c r="A86" s="59"/>
      <c r="B86" s="23"/>
      <c r="C86" s="23"/>
      <c r="D86" s="72"/>
      <c r="E86" s="72"/>
      <c r="F86" s="72"/>
      <c r="G86" s="72"/>
      <c r="H86" s="72"/>
      <c r="I86" s="72"/>
    </row>
    <row r="87" spans="1:9" x14ac:dyDescent="0.25">
      <c r="A87" s="77" t="s">
        <v>259</v>
      </c>
      <c r="B87" s="1"/>
      <c r="D87" s="63"/>
      <c r="E87" s="63"/>
      <c r="F87" s="63"/>
      <c r="G87" s="63"/>
      <c r="H87" s="63"/>
      <c r="I87" s="63"/>
    </row>
    <row r="88" spans="1:9" x14ac:dyDescent="0.25">
      <c r="A88" s="59" t="s">
        <v>202</v>
      </c>
      <c r="B88" s="1"/>
      <c r="D88" s="63">
        <f>D3/D2</f>
        <v>0.80516360664897069</v>
      </c>
      <c r="E88" s="63">
        <f t="shared" ref="E88:I88" si="35">E3/E2</f>
        <v>0.81523546455871487</v>
      </c>
      <c r="F88" s="63">
        <f t="shared" si="35"/>
        <v>0.8537106246628654</v>
      </c>
      <c r="G88" s="63">
        <f t="shared" si="35"/>
        <v>0.88428933253201569</v>
      </c>
      <c r="H88" s="63">
        <f t="shared" si="35"/>
        <v>0.89809468838245365</v>
      </c>
      <c r="I88" s="63">
        <f t="shared" si="35"/>
        <v>0.91986025072427757</v>
      </c>
    </row>
    <row r="89" spans="1:9" x14ac:dyDescent="0.25">
      <c r="A89" s="59" t="s">
        <v>203</v>
      </c>
      <c r="B89" s="23"/>
      <c r="C89" s="23"/>
      <c r="D89" s="72">
        <f>D4/D2</f>
        <v>9.9528288837558723E-2</v>
      </c>
      <c r="E89" s="72">
        <f t="shared" ref="E89:I89" si="36">E4/E2</f>
        <v>7.9783317869690284E-2</v>
      </c>
      <c r="F89" s="72">
        <f t="shared" si="36"/>
        <v>4.0748430827676749E-2</v>
      </c>
      <c r="G89" s="72">
        <f t="shared" si="36"/>
        <v>1.6154162026730614E-2</v>
      </c>
      <c r="H89" s="72">
        <f t="shared" si="36"/>
        <v>6.236585871472528E-3</v>
      </c>
      <c r="I89" s="72">
        <f t="shared" si="36"/>
        <v>5.6418333295694947E-3</v>
      </c>
    </row>
    <row r="90" spans="1:9" x14ac:dyDescent="0.25">
      <c r="A90" s="59" t="s">
        <v>16</v>
      </c>
      <c r="B90" s="67"/>
      <c r="D90" s="63">
        <f>D5/D2</f>
        <v>4.5759191597749369E-2</v>
      </c>
      <c r="E90" s="63">
        <f t="shared" ref="E90:I90" si="37">E5/E2</f>
        <v>5.4469241399179032E-2</v>
      </c>
      <c r="F90" s="63">
        <f t="shared" si="37"/>
        <v>5.3694733551464625E-2</v>
      </c>
      <c r="G90" s="63">
        <f t="shared" si="37"/>
        <v>5.1320933529042059E-2</v>
      </c>
      <c r="H90" s="63">
        <f t="shared" si="37"/>
        <v>5.8293388180770393E-2</v>
      </c>
      <c r="I90" s="63">
        <f t="shared" si="37"/>
        <v>6.0506831269111605E-2</v>
      </c>
    </row>
    <row r="91" spans="1:9" x14ac:dyDescent="0.25">
      <c r="A91" s="59" t="s">
        <v>26</v>
      </c>
      <c r="B91" s="67"/>
      <c r="D91" s="63">
        <f>D9/D2</f>
        <v>4.9548912915721256E-2</v>
      </c>
      <c r="E91" s="63">
        <f t="shared" ref="E91:I91" si="38">E9/E2</f>
        <v>5.0511976172415721E-2</v>
      </c>
      <c r="F91" s="63">
        <f t="shared" si="38"/>
        <v>5.1846210957993258E-2</v>
      </c>
      <c r="G91" s="63">
        <f t="shared" si="38"/>
        <v>4.823557191221161E-2</v>
      </c>
      <c r="H91" s="63">
        <f t="shared" si="38"/>
        <v>3.7375337565303299E-2</v>
      </c>
      <c r="I91" s="63">
        <f t="shared" si="38"/>
        <v>1.3991084677041327E-2</v>
      </c>
    </row>
    <row r="92" spans="1:9" x14ac:dyDescent="0.25">
      <c r="A92" s="77" t="s">
        <v>260</v>
      </c>
      <c r="B92" s="67"/>
      <c r="D92" s="63"/>
      <c r="E92" s="63"/>
      <c r="F92" s="63"/>
      <c r="G92" s="63"/>
      <c r="H92" s="63"/>
      <c r="I92" s="63"/>
    </row>
    <row r="93" spans="1:9" x14ac:dyDescent="0.25">
      <c r="A93" s="59" t="s">
        <v>205</v>
      </c>
      <c r="D93" s="94">
        <f>(D10-D13)/D2</f>
        <v>0.27419395817693826</v>
      </c>
      <c r="E93" s="94">
        <f t="shared" ref="E93:I93" si="39">(E10-E13)/E2</f>
        <v>0.27737252273938412</v>
      </c>
      <c r="F93" s="94">
        <f t="shared" si="39"/>
        <v>0.25908940963995813</v>
      </c>
      <c r="G93" s="94">
        <f t="shared" si="39"/>
        <v>0.24276109253723718</v>
      </c>
      <c r="H93" s="94">
        <f t="shared" si="39"/>
        <v>0.1904184321022786</v>
      </c>
      <c r="I93" s="94">
        <f t="shared" si="39"/>
        <v>0.11329835857812122</v>
      </c>
    </row>
    <row r="94" spans="1:9" x14ac:dyDescent="0.25">
      <c r="A94" s="59" t="s">
        <v>212</v>
      </c>
      <c r="B94" s="67"/>
      <c r="D94" s="97">
        <f>D13/D2</f>
        <v>7.1075200312526636E-3</v>
      </c>
      <c r="E94" s="97">
        <f t="shared" ref="E94:I94" si="40">E13/E2</f>
        <v>5.6108062526993626E-3</v>
      </c>
      <c r="F94" s="97">
        <f t="shared" si="40"/>
        <v>1.1218522490469425E-2</v>
      </c>
      <c r="G94" s="97">
        <f t="shared" si="40"/>
        <v>1.098377445392869E-2</v>
      </c>
      <c r="H94" s="97">
        <f t="shared" si="40"/>
        <v>0</v>
      </c>
      <c r="I94" s="97">
        <f t="shared" si="40"/>
        <v>0</v>
      </c>
    </row>
    <row r="95" spans="1:9" x14ac:dyDescent="0.25">
      <c r="A95" s="77" t="s">
        <v>261</v>
      </c>
      <c r="B95" s="67"/>
      <c r="D95" s="63"/>
      <c r="E95" s="63"/>
      <c r="F95" s="63"/>
      <c r="G95" s="63"/>
      <c r="H95" s="63"/>
      <c r="I95" s="63"/>
    </row>
    <row r="96" spans="1:9" x14ac:dyDescent="0.25">
      <c r="A96" s="59" t="s">
        <v>149</v>
      </c>
      <c r="B96" s="1"/>
      <c r="D96" s="63">
        <f>D15/D2</f>
        <v>0.36469101459079672</v>
      </c>
      <c r="E96" s="63">
        <f t="shared" ref="E96:I96" si="41">E15/E2</f>
        <v>0.40357178423877199</v>
      </c>
      <c r="F96" s="63">
        <f t="shared" si="41"/>
        <v>0.44808490739192436</v>
      </c>
      <c r="G96" s="63">
        <f t="shared" si="41"/>
        <v>0.4995864093436041</v>
      </c>
      <c r="H96" s="63">
        <f t="shared" si="41"/>
        <v>0.59952520723838665</v>
      </c>
      <c r="I96" s="63">
        <f t="shared" si="41"/>
        <v>0.73776408327731691</v>
      </c>
    </row>
    <row r="97" spans="1:9" x14ac:dyDescent="0.25">
      <c r="A97" s="59" t="s">
        <v>206</v>
      </c>
      <c r="B97" s="1"/>
      <c r="D97" s="63">
        <f>D16/D2</f>
        <v>0.33314797710594746</v>
      </c>
      <c r="E97" s="63">
        <f t="shared" ref="E97:I97" si="42">E16/E2</f>
        <v>0.29290515017115393</v>
      </c>
      <c r="F97" s="63">
        <f t="shared" si="42"/>
        <v>0.26183009229391446</v>
      </c>
      <c r="G97" s="63">
        <f t="shared" si="42"/>
        <v>0.23098514052093488</v>
      </c>
      <c r="H97" s="63">
        <f t="shared" si="42"/>
        <v>0.1974776943150397</v>
      </c>
      <c r="I97" s="63">
        <f t="shared" si="42"/>
        <v>0.1392686249756947</v>
      </c>
    </row>
    <row r="98" spans="1:9" x14ac:dyDescent="0.25">
      <c r="A98" s="81"/>
      <c r="D98" s="94"/>
      <c r="E98" s="94"/>
      <c r="F98" s="94"/>
      <c r="G98" s="94"/>
      <c r="H98" s="94"/>
      <c r="I98" s="94"/>
    </row>
    <row r="99" spans="1:9" x14ac:dyDescent="0.25">
      <c r="A99" s="82" t="s">
        <v>222</v>
      </c>
      <c r="B99" s="90"/>
      <c r="C99" s="90"/>
      <c r="D99" s="98">
        <f>D28/E28-1</f>
        <v>0.12420556549362094</v>
      </c>
      <c r="E99" s="98">
        <f t="shared" ref="E99:H99" si="43">E28/F28-1</f>
        <v>0.17240807229115074</v>
      </c>
      <c r="F99" s="98">
        <f t="shared" si="43"/>
        <v>0.18434308139922528</v>
      </c>
      <c r="G99" s="98">
        <f t="shared" si="43"/>
        <v>0.45068330246419297</v>
      </c>
      <c r="H99" s="98">
        <f t="shared" si="43"/>
        <v>0.43135968713711503</v>
      </c>
      <c r="I99" s="98"/>
    </row>
    <row r="100" spans="1:9" x14ac:dyDescent="0.25">
      <c r="A100" s="82" t="s">
        <v>236</v>
      </c>
      <c r="B100" s="99"/>
      <c r="C100" s="100"/>
      <c r="D100" s="98">
        <f>D63/E63-1</f>
        <v>0.25928667305157194</v>
      </c>
      <c r="E100" s="98">
        <f t="shared" ref="E100:H100" si="44">E63/F63-1</f>
        <v>0.16228953330669982</v>
      </c>
      <c r="F100" s="98">
        <f t="shared" si="44"/>
        <v>5.7975311226542869E-2</v>
      </c>
      <c r="G100" s="98">
        <f t="shared" si="44"/>
        <v>0.20571083669432522</v>
      </c>
      <c r="H100" s="98">
        <f t="shared" si="44"/>
        <v>1.2132297653716857</v>
      </c>
      <c r="I100" s="98"/>
    </row>
    <row r="101" spans="1:9" x14ac:dyDescent="0.25">
      <c r="B101" s="12"/>
      <c r="D101" s="62"/>
      <c r="E101" s="62"/>
      <c r="F101" s="62"/>
      <c r="G101" s="62"/>
      <c r="H101" s="62"/>
      <c r="I101" s="62"/>
    </row>
    <row r="102" spans="1:9" x14ac:dyDescent="0.25">
      <c r="A102" s="79" t="s">
        <v>223</v>
      </c>
      <c r="B102" s="12"/>
      <c r="D102" s="63">
        <f>D2/E2-1</f>
        <v>0.13874799569519425</v>
      </c>
      <c r="E102" s="63">
        <f t="shared" ref="E102:H102" si="45">E2/F2-1</f>
        <v>0.15893150709803372</v>
      </c>
      <c r="F102" s="63">
        <f t="shared" si="45"/>
        <v>0.15653740009361594</v>
      </c>
      <c r="G102" s="63">
        <f t="shared" si="45"/>
        <v>0.22487973463219491</v>
      </c>
      <c r="H102" s="63">
        <f t="shared" si="45"/>
        <v>0.24365784216736208</v>
      </c>
      <c r="I102" s="63"/>
    </row>
    <row r="103" spans="1:9" x14ac:dyDescent="0.25">
      <c r="A103" s="83" t="s">
        <v>211</v>
      </c>
      <c r="D103" s="94">
        <f>(D3-E3)/(D2-E2)*D102</f>
        <v>0.10164297871951426</v>
      </c>
      <c r="E103" s="94">
        <f t="shared" ref="E103:H103" si="46">(E3-F3)/(E2-F2)*E102</f>
        <v>9.1091440917931685E-2</v>
      </c>
      <c r="F103" s="94">
        <f t="shared" si="46"/>
        <v>0.10305893374787146</v>
      </c>
      <c r="G103" s="94">
        <f t="shared" si="46"/>
        <v>0.18505339458744247</v>
      </c>
      <c r="H103" s="94">
        <f t="shared" si="46"/>
        <v>0.19706225149141432</v>
      </c>
      <c r="I103" s="94"/>
    </row>
    <row r="104" spans="1:9" x14ac:dyDescent="0.25">
      <c r="A104" s="83" t="s">
        <v>209</v>
      </c>
      <c r="B104" s="23"/>
      <c r="D104" s="63">
        <f>(D4-E4)/(D2-E2)*D102</f>
        <v>3.3554321559052087E-2</v>
      </c>
      <c r="E104" s="63">
        <f t="shared" ref="E104:H104" si="47">(E4-F4)/(E2-F2)*E102</f>
        <v>5.1714969992324888E-2</v>
      </c>
      <c r="F104" s="63">
        <f t="shared" si="47"/>
        <v>3.0972922220605215E-2</v>
      </c>
      <c r="G104" s="63">
        <f t="shared" si="47"/>
        <v>1.3550319825034745E-2</v>
      </c>
      <c r="H104" s="63">
        <f t="shared" si="47"/>
        <v>2.1143455978374871E-3</v>
      </c>
      <c r="I104" s="63"/>
    </row>
    <row r="105" spans="1:9" x14ac:dyDescent="0.25">
      <c r="A105" s="83" t="s">
        <v>214</v>
      </c>
      <c r="B105" s="67"/>
      <c r="D105" s="63">
        <f>(D5-E5)/(D2-E2)*D102</f>
        <v>-2.3610536826095679E-3</v>
      </c>
      <c r="E105" s="63">
        <f t="shared" ref="E105:H105" si="48">(E5-F5)/(E2-F2)*E102</f>
        <v>9.4313864737725385E-3</v>
      </c>
      <c r="F105" s="63">
        <f t="shared" si="48"/>
        <v>1.0779034011288288E-2</v>
      </c>
      <c r="G105" s="63">
        <f t="shared" si="48"/>
        <v>4.5685832613591515E-3</v>
      </c>
      <c r="H105" s="63">
        <f t="shared" si="48"/>
        <v>1.1990198088409714E-2</v>
      </c>
      <c r="I105" s="63"/>
    </row>
    <row r="106" spans="1:9" x14ac:dyDescent="0.25">
      <c r="A106" s="83" t="s">
        <v>26</v>
      </c>
      <c r="B106" s="1"/>
      <c r="D106" s="94">
        <f>(D9-E9)/(D2-E2)*D102</f>
        <v>5.9117490992375782E-3</v>
      </c>
      <c r="E106" s="94">
        <f t="shared" ref="E106:H106" si="49">(E9-F9)/(E2-F2)*E102</f>
        <v>6.6937097140044657E-3</v>
      </c>
      <c r="F106" s="94">
        <f t="shared" si="49"/>
        <v>1.1726510113851054E-2</v>
      </c>
      <c r="G106" s="94">
        <f t="shared" si="49"/>
        <v>2.1707436958358615E-2</v>
      </c>
      <c r="H106" s="94">
        <f t="shared" si="49"/>
        <v>3.2491046989700532E-2</v>
      </c>
      <c r="I106" s="94"/>
    </row>
    <row r="107" spans="1:9" x14ac:dyDescent="0.25">
      <c r="A107" s="79" t="s">
        <v>224</v>
      </c>
      <c r="B107" s="1"/>
      <c r="D107" s="94">
        <f>D14/E14-1</f>
        <v>0.14141906916761982</v>
      </c>
      <c r="E107" s="94">
        <f t="shared" ref="E107:H107" si="50">E14/F14-1</f>
        <v>0.13879984137932344</v>
      </c>
      <c r="F107" s="94">
        <f t="shared" si="50"/>
        <v>0.1308681571679311</v>
      </c>
      <c r="G107" s="94">
        <f t="shared" si="50"/>
        <v>0.12906818229741845</v>
      </c>
      <c r="H107" s="94">
        <f t="shared" si="50"/>
        <v>0.13549182583627339</v>
      </c>
      <c r="I107" s="94"/>
    </row>
    <row r="108" spans="1:9" x14ac:dyDescent="0.25">
      <c r="A108" s="83" t="s">
        <v>149</v>
      </c>
      <c r="D108" s="65">
        <f>(D15-E15)/(D14-E14)*D107</f>
        <v>1.6344637647086494E-2</v>
      </c>
      <c r="E108" s="65">
        <f t="shared" ref="E108:H108" si="51">(E15-F15)/(E14-F14)*E107</f>
        <v>2.6897851302484441E-2</v>
      </c>
      <c r="F108" s="65">
        <f t="shared" si="51"/>
        <v>2.4978782253039553E-2</v>
      </c>
      <c r="G108" s="65">
        <f t="shared" si="51"/>
        <v>1.5326511566313018E-2</v>
      </c>
      <c r="H108" s="65">
        <f t="shared" si="51"/>
        <v>8.8419169599634508E-3</v>
      </c>
      <c r="I108" s="65"/>
    </row>
    <row r="109" spans="1:9" x14ac:dyDescent="0.25">
      <c r="A109" s="83" t="s">
        <v>213</v>
      </c>
      <c r="B109" s="73"/>
      <c r="C109" s="73"/>
      <c r="D109" s="102">
        <f>(D16-E16)/(D14-E14)*D107</f>
        <v>0.12059195347104762</v>
      </c>
      <c r="E109" s="102">
        <f t="shared" ref="E109:H109" si="52">(E16-F16)/(E14-F14)*E107</f>
        <v>0.10638311453399561</v>
      </c>
      <c r="F109" s="102">
        <f t="shared" si="52"/>
        <v>9.6255490260179086E-2</v>
      </c>
      <c r="G109" s="102">
        <f t="shared" si="52"/>
        <v>0.10554998618869099</v>
      </c>
      <c r="H109" s="102">
        <f t="shared" si="52"/>
        <v>0.11991187705690196</v>
      </c>
      <c r="I109" s="101"/>
    </row>
    <row r="110" spans="1:9" x14ac:dyDescent="0.25">
      <c r="A110" s="79" t="s">
        <v>225</v>
      </c>
      <c r="B110" s="1"/>
      <c r="D110" s="65">
        <f>D10/E10-1</f>
        <v>0.13198009097077978</v>
      </c>
      <c r="E110" s="65">
        <f t="shared" ref="E110:H110" si="53">E10/F10-1</f>
        <v>0.21327662628179667</v>
      </c>
      <c r="F110" s="65">
        <f t="shared" si="53"/>
        <v>0.23202978155885279</v>
      </c>
      <c r="G110" s="65">
        <f t="shared" si="53"/>
        <v>0.63223140697576219</v>
      </c>
      <c r="H110" s="65">
        <f t="shared" si="53"/>
        <v>1.0901924736528623</v>
      </c>
      <c r="I110" s="65"/>
    </row>
    <row r="111" spans="1:9" x14ac:dyDescent="0.25">
      <c r="A111" s="83" t="s">
        <v>238</v>
      </c>
      <c r="B111" s="1"/>
      <c r="D111" s="65">
        <f>(D11-E11)/(D10-E10)*D110</f>
        <v>0.14524814574570355</v>
      </c>
      <c r="E111" s="65">
        <f t="shared" ref="E111:H111" si="54">(E11-F11)/(E10-F10)*E110</f>
        <v>0.13990307324665816</v>
      </c>
      <c r="F111" s="65">
        <f t="shared" si="54"/>
        <v>0.17173311763880042</v>
      </c>
      <c r="G111" s="65">
        <f t="shared" si="54"/>
        <v>0.41742194626006907</v>
      </c>
      <c r="H111" s="65">
        <f t="shared" si="54"/>
        <v>1.1834642721783444</v>
      </c>
      <c r="I111" s="65"/>
    </row>
    <row r="112" spans="1:9" x14ac:dyDescent="0.25">
      <c r="A112" s="83" t="s">
        <v>204</v>
      </c>
      <c r="B112" s="1"/>
      <c r="D112" s="65">
        <f>(D12-E12)/(D10-E10)*D110</f>
        <v>-1.9266715093912063E-3</v>
      </c>
      <c r="E112" s="65">
        <f t="shared" ref="E112:H112" si="55">(E12-F12)/(E10-F10)*E110</f>
        <v>4.5157076673127926E-2</v>
      </c>
      <c r="F112" s="65">
        <f t="shared" si="55"/>
        <v>3.5573435521830586E-2</v>
      </c>
      <c r="G112" s="65">
        <f t="shared" si="55"/>
        <v>4.4304550863173649E-2</v>
      </c>
      <c r="H112" s="65">
        <f t="shared" si="55"/>
        <v>0.10336912401047489</v>
      </c>
      <c r="I112" s="65"/>
    </row>
    <row r="113" spans="1:9" x14ac:dyDescent="0.25">
      <c r="A113" s="83" t="s">
        <v>198</v>
      </c>
      <c r="B113" s="1"/>
      <c r="D113" s="65">
        <f>(D13-E13)/(D10-E10)*D110</f>
        <v>8.7739017916582361E-3</v>
      </c>
      <c r="E113" s="65">
        <f t="shared" ref="E113:H113" si="56">(E13-F13)/(E10-F10)*E110</f>
        <v>-1.7446703494139234E-2</v>
      </c>
      <c r="F113" s="65">
        <f t="shared" si="56"/>
        <v>7.8459375501766827E-3</v>
      </c>
      <c r="G113" s="65">
        <f t="shared" si="56"/>
        <v>7.0653888858625155E-2</v>
      </c>
      <c r="H113" s="65">
        <f t="shared" si="56"/>
        <v>0</v>
      </c>
      <c r="I113" s="65"/>
    </row>
    <row r="114" spans="1:9" x14ac:dyDescent="0.25">
      <c r="B114" s="1"/>
      <c r="D114" s="32"/>
      <c r="E114" s="32"/>
      <c r="F114" s="32"/>
      <c r="G114" s="32"/>
      <c r="H114" s="32"/>
      <c r="I114" s="32"/>
    </row>
    <row r="115" spans="1:9" x14ac:dyDescent="0.25">
      <c r="A115" s="84" t="s">
        <v>142</v>
      </c>
      <c r="B115" s="86"/>
      <c r="C115" s="90"/>
      <c r="D115" s="98">
        <f>D59/D14</f>
        <v>0.13699807497556526</v>
      </c>
      <c r="E115" s="98">
        <f t="shared" ref="E115:I115" si="57">E59/E14</f>
        <v>0.12878120891624589</v>
      </c>
      <c r="F115" s="98">
        <f t="shared" si="57"/>
        <v>0.12074750091541459</v>
      </c>
      <c r="G115" s="98">
        <f t="shared" si="57"/>
        <v>0.13954430963443076</v>
      </c>
      <c r="H115" s="98">
        <f t="shared" si="57"/>
        <v>0.11760843621259637</v>
      </c>
      <c r="I115" s="98">
        <f t="shared" si="57"/>
        <v>6.3801867191508627E-2</v>
      </c>
    </row>
    <row r="116" spans="1:9" x14ac:dyDescent="0.25">
      <c r="A116" s="85" t="s">
        <v>228</v>
      </c>
      <c r="B116" s="103"/>
      <c r="C116" s="90"/>
      <c r="D116" s="98">
        <f>D59/D50</f>
        <v>0.30604538601501713</v>
      </c>
      <c r="E116" s="98">
        <f t="shared" ref="E116:I116" si="58">E59/E50</f>
        <v>0.28335082174673093</v>
      </c>
      <c r="F116" s="98">
        <f t="shared" si="58"/>
        <v>0.2735152412873964</v>
      </c>
      <c r="G116" s="98">
        <f t="shared" si="58"/>
        <v>0.33104045039523439</v>
      </c>
      <c r="H116" s="98">
        <f t="shared" si="58"/>
        <v>0.35847580733188511</v>
      </c>
      <c r="I116" s="98">
        <f t="shared" si="58"/>
        <v>0.24514302125898327</v>
      </c>
    </row>
    <row r="117" spans="1:9" x14ac:dyDescent="0.25">
      <c r="A117" s="86" t="s">
        <v>262</v>
      </c>
      <c r="B117" s="90"/>
      <c r="C117" s="90"/>
      <c r="D117" s="104">
        <f>D28/D2</f>
        <v>0.3217180146229387</v>
      </c>
      <c r="E117" s="104">
        <f t="shared" ref="E117:I117" si="59">E28/E2</f>
        <v>0.325879675013037</v>
      </c>
      <c r="F117" s="104">
        <f t="shared" si="59"/>
        <v>0.3221337619736952</v>
      </c>
      <c r="G117" s="104">
        <f t="shared" si="59"/>
        <v>0.31457079406017868</v>
      </c>
      <c r="H117" s="104">
        <f t="shared" si="59"/>
        <v>0.26560682824222487</v>
      </c>
      <c r="I117" s="104">
        <f t="shared" si="59"/>
        <v>0.23077638545020698</v>
      </c>
    </row>
    <row r="118" spans="1:9" x14ac:dyDescent="0.25">
      <c r="A118" s="86" t="s">
        <v>229</v>
      </c>
      <c r="B118" s="90"/>
      <c r="C118" s="90"/>
      <c r="D118" s="104">
        <f>D2/D14</f>
        <v>1.3914040027616441</v>
      </c>
      <c r="E118" s="104">
        <f t="shared" ref="E118:I118" si="60">E2/E14</f>
        <v>1.3946677119714546</v>
      </c>
      <c r="F118" s="104">
        <f t="shared" si="60"/>
        <v>1.3704410997910743</v>
      </c>
      <c r="G118" s="104">
        <f t="shared" si="60"/>
        <v>1.3400242836093992</v>
      </c>
      <c r="H118" s="104">
        <f t="shared" si="60"/>
        <v>1.235205987454417</v>
      </c>
      <c r="I118" s="104">
        <f t="shared" si="60"/>
        <v>1.127775063544983</v>
      </c>
    </row>
    <row r="119" spans="1:9" x14ac:dyDescent="0.25">
      <c r="A119" s="1"/>
      <c r="B119" s="74"/>
      <c r="C119" s="74"/>
      <c r="D119" s="74"/>
      <c r="E119" s="74"/>
      <c r="F119" s="74"/>
      <c r="G119" s="74"/>
      <c r="H119" s="74"/>
      <c r="I119" s="74"/>
    </row>
    <row r="120" spans="1:9" x14ac:dyDescent="0.25">
      <c r="A120" s="84" t="s">
        <v>263</v>
      </c>
      <c r="B120" s="105"/>
      <c r="C120" s="105"/>
      <c r="D120" s="106">
        <f>D64/D26</f>
        <v>0.89939071529489223</v>
      </c>
      <c r="E120" s="106">
        <f t="shared" ref="E120:I120" si="61">E64/E26</f>
        <v>0.87994634882287415</v>
      </c>
      <c r="F120" s="106">
        <f t="shared" si="61"/>
        <v>0.6996637834744267</v>
      </c>
      <c r="G120" s="106">
        <f t="shared" si="61"/>
        <v>0</v>
      </c>
      <c r="H120" s="106">
        <f t="shared" si="61"/>
        <v>0.6</v>
      </c>
      <c r="I120" s="106">
        <f t="shared" si="61"/>
        <v>0.3</v>
      </c>
    </row>
    <row r="121" spans="1:9" x14ac:dyDescent="0.25">
      <c r="A121" s="87" t="s">
        <v>139</v>
      </c>
      <c r="B121" s="106">
        <f t="shared" ref="B121:C121" si="62">B59/B26</f>
        <v>4.403700553545308</v>
      </c>
      <c r="C121" s="106">
        <f t="shared" si="62"/>
        <v>3.3874619642656216</v>
      </c>
      <c r="D121" s="106">
        <f>D59/D26</f>
        <v>3.3874619642656216</v>
      </c>
      <c r="E121" s="106">
        <f t="shared" ref="E121:I121" si="63">E59/E26</f>
        <v>2.7946108174430599</v>
      </c>
      <c r="F121" s="106">
        <f t="shared" si="63"/>
        <v>2.3034131207478827</v>
      </c>
      <c r="G121" s="106">
        <f t="shared" si="63"/>
        <v>2.3550627708893703</v>
      </c>
      <c r="H121" s="106">
        <f t="shared" si="63"/>
        <v>1.7579586766377446</v>
      </c>
      <c r="I121" s="106">
        <f t="shared" si="63"/>
        <v>0.83988449390455533</v>
      </c>
    </row>
    <row r="122" spans="1:9" x14ac:dyDescent="0.25">
      <c r="A122" s="87" t="s">
        <v>199</v>
      </c>
      <c r="B122" s="90"/>
      <c r="C122" s="90"/>
      <c r="D122" s="106">
        <f>D69/D26</f>
        <v>3.5005888170831638</v>
      </c>
      <c r="E122" s="106">
        <f t="shared" ref="E122:I122" si="64">E69/E26</f>
        <v>2.807748549035296</v>
      </c>
      <c r="F122" s="106">
        <f t="shared" si="64"/>
        <v>2.4076599199253774</v>
      </c>
      <c r="G122" s="106">
        <f t="shared" si="64"/>
        <v>2.2285176005639906</v>
      </c>
      <c r="H122" s="106">
        <f t="shared" si="64"/>
        <v>1.9145480497613889</v>
      </c>
      <c r="I122" s="106">
        <f t="shared" si="64"/>
        <v>0.81690584603036875</v>
      </c>
    </row>
    <row r="123" spans="1:9" x14ac:dyDescent="0.25">
      <c r="A123" s="1"/>
    </row>
    <row r="124" spans="1:9" x14ac:dyDescent="0.25">
      <c r="A124" s="79" t="s">
        <v>230</v>
      </c>
      <c r="B124">
        <v>341</v>
      </c>
      <c r="C124">
        <v>341</v>
      </c>
      <c r="D124" s="71">
        <v>368</v>
      </c>
      <c r="E124" s="71">
        <v>530</v>
      </c>
      <c r="F124" s="71">
        <v>308</v>
      </c>
      <c r="G124" s="71">
        <v>521</v>
      </c>
      <c r="H124" s="71">
        <v>436</v>
      </c>
      <c r="I124" s="71">
        <v>132</v>
      </c>
    </row>
    <row r="125" spans="1:9" x14ac:dyDescent="0.25">
      <c r="A125" s="79" t="s">
        <v>231</v>
      </c>
      <c r="B125">
        <v>300</v>
      </c>
      <c r="C125">
        <v>300</v>
      </c>
      <c r="D125" s="71">
        <v>167</v>
      </c>
      <c r="E125" s="71">
        <v>262</v>
      </c>
      <c r="F125" s="71">
        <v>155</v>
      </c>
      <c r="G125" s="71">
        <v>237</v>
      </c>
      <c r="H125" s="71">
        <v>147</v>
      </c>
      <c r="I125" s="71">
        <v>77</v>
      </c>
    </row>
    <row r="126" spans="1:9" x14ac:dyDescent="0.25">
      <c r="A126" s="79" t="s">
        <v>232</v>
      </c>
      <c r="B126" s="60">
        <f t="shared" ref="B126:C126" si="65">B124/B121</f>
        <v>77.434874568269521</v>
      </c>
      <c r="C126" s="60">
        <f t="shared" si="65"/>
        <v>100.66533693875039</v>
      </c>
      <c r="D126" s="60">
        <f t="shared" ref="D126:I126" si="66">D124/D121</f>
        <v>108.6359061391793</v>
      </c>
      <c r="E126" s="60">
        <f t="shared" si="66"/>
        <v>189.65073658625766</v>
      </c>
      <c r="F126" s="60">
        <f t="shared" si="66"/>
        <v>133.71461559617978</v>
      </c>
      <c r="G126" s="60">
        <f t="shared" si="66"/>
        <v>221.22552589256404</v>
      </c>
      <c r="H126" s="60">
        <f t="shared" si="66"/>
        <v>248.01493106418721</v>
      </c>
      <c r="I126" s="60">
        <f t="shared" si="66"/>
        <v>157.16446839772291</v>
      </c>
    </row>
    <row r="127" spans="1:9" x14ac:dyDescent="0.25">
      <c r="A127" s="79" t="s">
        <v>232</v>
      </c>
      <c r="B127" s="60">
        <f t="shared" ref="B127:C127" si="67">B125/B121</f>
        <v>68.124523080589029</v>
      </c>
      <c r="C127" s="60">
        <f t="shared" si="67"/>
        <v>88.561880004765726</v>
      </c>
      <c r="D127" s="60">
        <f t="shared" ref="D127:I127" si="68">D125/D121</f>
        <v>49.299446535986256</v>
      </c>
      <c r="E127" s="60">
        <f t="shared" si="68"/>
        <v>93.751873557734925</v>
      </c>
      <c r="F127" s="60">
        <f t="shared" si="68"/>
        <v>67.291446160415148</v>
      </c>
      <c r="G127" s="60">
        <f t="shared" si="68"/>
        <v>100.63426033884392</v>
      </c>
      <c r="H127" s="60">
        <f t="shared" si="68"/>
        <v>83.619712996411735</v>
      </c>
      <c r="I127" s="60">
        <f t="shared" si="68"/>
        <v>91.679273232005045</v>
      </c>
    </row>
    <row r="128" spans="1:9" x14ac:dyDescent="0.25">
      <c r="A128" s="79" t="s">
        <v>264</v>
      </c>
      <c r="D128" s="66">
        <f t="shared" ref="D128:I128" si="69">D120/D124</f>
        <v>2.4439965089535116E-3</v>
      </c>
      <c r="E128" s="66">
        <f t="shared" si="69"/>
        <v>1.6602761298544796E-3</v>
      </c>
      <c r="F128" s="66">
        <f t="shared" si="69"/>
        <v>2.2716356606312556E-3</v>
      </c>
      <c r="G128" s="66">
        <f t="shared" si="69"/>
        <v>0</v>
      </c>
      <c r="H128" s="66">
        <f t="shared" si="69"/>
        <v>1.3761467889908255E-3</v>
      </c>
      <c r="I128" s="66">
        <f t="shared" si="69"/>
        <v>2.2727272727272726E-3</v>
      </c>
    </row>
    <row r="129" spans="1:9" x14ac:dyDescent="0.25">
      <c r="A129" s="79" t="s">
        <v>264</v>
      </c>
      <c r="D129" s="66">
        <f t="shared" ref="D129:I129" si="70">D120/D125</f>
        <v>5.385573145478397E-3</v>
      </c>
      <c r="E129" s="66">
        <f t="shared" si="70"/>
        <v>3.3585738504689853E-3</v>
      </c>
      <c r="F129" s="66">
        <f t="shared" si="70"/>
        <v>4.5139598933833982E-3</v>
      </c>
      <c r="G129" s="66">
        <f t="shared" si="70"/>
        <v>0</v>
      </c>
      <c r="H129" s="66">
        <f t="shared" si="70"/>
        <v>4.081632653061224E-3</v>
      </c>
      <c r="I129" s="66">
        <f t="shared" si="70"/>
        <v>3.8961038961038961E-3</v>
      </c>
    </row>
    <row r="132" spans="1:9" x14ac:dyDescent="0.25">
      <c r="A132" s="79" t="s">
        <v>200</v>
      </c>
      <c r="B132" s="88">
        <f t="shared" ref="B132:C132" si="71">B124*B26</f>
        <v>157721244263</v>
      </c>
      <c r="C132" s="88">
        <f t="shared" si="71"/>
        <v>157721244263</v>
      </c>
      <c r="D132" s="88">
        <f>D124*D26</f>
        <v>170209436624</v>
      </c>
      <c r="E132" s="88">
        <f t="shared" ref="E132:I132" si="72">E124*E26</f>
        <v>244713363310</v>
      </c>
      <c r="F132" s="88">
        <f t="shared" si="72"/>
        <v>142056230932</v>
      </c>
      <c r="G132" s="88">
        <f t="shared" si="72"/>
        <v>240181000000</v>
      </c>
      <c r="H132" s="88">
        <f t="shared" si="72"/>
        <v>200996000000</v>
      </c>
      <c r="I132" s="88">
        <f t="shared" si="72"/>
        <v>60852000000</v>
      </c>
    </row>
    <row r="133" spans="1:9" x14ac:dyDescent="0.25">
      <c r="A133" s="79" t="s">
        <v>200</v>
      </c>
      <c r="B133" s="88">
        <f t="shared" ref="B133:C133" si="73">B125*B26</f>
        <v>138757692900</v>
      </c>
      <c r="C133" s="88">
        <f t="shared" si="73"/>
        <v>138757692900</v>
      </c>
      <c r="D133" s="88">
        <f>D125*D26</f>
        <v>77241782381</v>
      </c>
      <c r="E133" s="88">
        <f t="shared" ref="E133:I133" si="74">E125*E26</f>
        <v>120971511674</v>
      </c>
      <c r="F133" s="88">
        <f t="shared" si="74"/>
        <v>71489336995</v>
      </c>
      <c r="G133" s="88">
        <f t="shared" si="74"/>
        <v>109257000000</v>
      </c>
      <c r="H133" s="88">
        <f t="shared" si="74"/>
        <v>67767000000</v>
      </c>
      <c r="I133" s="88">
        <f t="shared" si="74"/>
        <v>35497000000</v>
      </c>
    </row>
    <row r="171" spans="3:9" x14ac:dyDescent="0.25">
      <c r="C171">
        <v>322</v>
      </c>
      <c r="D171" s="71">
        <v>368</v>
      </c>
      <c r="E171" s="71">
        <v>530</v>
      </c>
      <c r="F171" s="71">
        <v>308</v>
      </c>
      <c r="G171" s="71">
        <v>521</v>
      </c>
      <c r="H171" s="71">
        <v>436</v>
      </c>
      <c r="I171" s="71">
        <v>132</v>
      </c>
    </row>
    <row r="172" spans="3:9" x14ac:dyDescent="0.25">
      <c r="C172">
        <v>249</v>
      </c>
      <c r="D172" s="71">
        <v>167</v>
      </c>
      <c r="E172" s="71">
        <v>262</v>
      </c>
      <c r="F172" s="71">
        <v>155</v>
      </c>
      <c r="G172" s="71">
        <v>237</v>
      </c>
      <c r="H172" s="71">
        <v>147</v>
      </c>
      <c r="I172" s="71">
        <v>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balance sheet（处理后）</vt:lpstr>
      <vt:lpstr>balance</vt:lpstr>
      <vt:lpstr>损益现金流</vt:lpstr>
      <vt:lpstr>营运资本变动</vt:lpstr>
      <vt:lpstr>收入成本</vt:lpstr>
      <vt:lpstr>Beta_04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Qin Cui</cp:lastModifiedBy>
  <cp:revision/>
  <dcterms:created xsi:type="dcterms:W3CDTF">2025-04-13T06:12:39Z</dcterms:created>
  <dcterms:modified xsi:type="dcterms:W3CDTF">2026-01-09T09:12:29Z</dcterms:modified>
  <cp:category/>
  <cp:contentStatus/>
</cp:coreProperties>
</file>