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a_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4472C4"/>
      <sz val="12"/>
    </font>
    <font>
      <color rgb="FF008000"/>
    </font>
    <font>
      <color rgb="FF000000"/>
    </font>
    <font>
      <color rgb="FF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3" fontId="4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Beta_04 财务分析表</t>
        </is>
      </c>
      <c r="C1" s="2" t="inlineStr">
        <is>
          <t>2024</t>
        </is>
      </c>
      <c r="D1" s="2" t="inlineStr">
        <is>
          <t>2023</t>
        </is>
      </c>
      <c r="E1" s="2" t="inlineStr">
        <is>
          <t>2022</t>
        </is>
      </c>
      <c r="F1" s="2" t="inlineStr">
        <is>
          <t>2021</t>
        </is>
      </c>
      <c r="G1" s="2" t="inlineStr">
        <is>
          <t>2020</t>
        </is>
      </c>
      <c r="H1" s="2" t="inlineStr">
        <is>
          <t>2019</t>
        </is>
      </c>
      <c r="I1" s="2" t="inlineStr">
        <is>
          <t>2018</t>
        </is>
      </c>
    </row>
    <row r="3">
      <c r="A3" s="3">
        <f>=== 资产负债表数据 ====</f>
        <v/>
      </c>
    </row>
    <row r="4">
      <c r="A4" s="4" t="inlineStr">
        <is>
          <t>资产</t>
        </is>
      </c>
      <c r="C4" s="5" t="n">
        <v>63254182536</v>
      </c>
      <c r="D4" s="5" t="n">
        <v>56630407495</v>
      </c>
      <c r="E4" s="5" t="n">
        <v>50767498791</v>
      </c>
      <c r="F4" s="5" t="n">
        <v>44784893954</v>
      </c>
      <c r="G4" s="5" t="n">
        <v>38423625184</v>
      </c>
      <c r="H4" s="5" t="n">
        <v>38826279607</v>
      </c>
      <c r="I4" s="5" t="n">
        <v>34490438670</v>
      </c>
    </row>
    <row r="5">
      <c r="A5" s="4" t="inlineStr">
        <is>
          <t>现金</t>
        </is>
      </c>
      <c r="C5" s="5" t="n">
        <v>20713712160</v>
      </c>
      <c r="D5" s="5" t="n">
        <v>19838830944</v>
      </c>
      <c r="E5" s="5" t="n">
        <v>18165180172</v>
      </c>
      <c r="F5" s="5" t="n">
        <v>15447688808</v>
      </c>
      <c r="G5" s="5" t="n">
        <v>10411885641</v>
      </c>
      <c r="H5" s="5" t="n">
        <v>10001551003</v>
      </c>
      <c r="I5" s="5" t="n">
        <v>6800777265</v>
      </c>
    </row>
    <row r="6">
      <c r="A6" s="4" t="inlineStr">
        <is>
          <t>投资</t>
        </is>
      </c>
      <c r="C6" s="5" t="n">
        <v>524177494</v>
      </c>
      <c r="D6" s="5" t="n">
        <v>272592774</v>
      </c>
      <c r="E6" s="5" t="n">
        <v>327607056</v>
      </c>
      <c r="F6" s="5" t="n">
        <v>298144705</v>
      </c>
      <c r="G6" s="5" t="n">
        <v>264748905</v>
      </c>
      <c r="H6" s="5" t="n">
        <v>199805151</v>
      </c>
      <c r="I6" s="5" t="n">
        <v>205738050</v>
      </c>
    </row>
    <row r="7">
      <c r="A7" s="4" t="inlineStr">
        <is>
          <t>运营资产</t>
        </is>
      </c>
      <c r="C7" s="5" t="n">
        <v>16094542311</v>
      </c>
      <c r="D7" s="5" t="n">
        <v>14147469320</v>
      </c>
      <c r="E7" s="5" t="n">
        <v>12235113740</v>
      </c>
      <c r="F7" s="5" t="n">
        <v>10129858419</v>
      </c>
      <c r="G7" s="5" t="n">
        <v>8668361952</v>
      </c>
      <c r="H7" s="5" t="n">
        <v>8471317618</v>
      </c>
      <c r="I7" s="5" t="n">
        <v>9033666442</v>
      </c>
    </row>
    <row r="8">
      <c r="A8" s="4" t="inlineStr">
        <is>
          <t>应收</t>
        </is>
      </c>
      <c r="C8" s="5" t="n">
        <v>8969464994</v>
      </c>
      <c r="D8" s="5" t="n">
        <v>7496008772</v>
      </c>
      <c r="E8" s="5" t="n">
        <v>5461966571</v>
      </c>
      <c r="F8" s="5" t="n">
        <v>4350121771</v>
      </c>
      <c r="G8" s="5" t="n">
        <v>3753925498</v>
      </c>
      <c r="H8" s="5" t="n">
        <v>3477440317</v>
      </c>
      <c r="I8" s="5" t="n">
        <v>4304107516</v>
      </c>
    </row>
    <row r="9">
      <c r="A9" s="4" t="inlineStr">
        <is>
          <t>预付</t>
        </is>
      </c>
      <c r="C9" s="5" t="n">
        <v>305455256</v>
      </c>
      <c r="D9" s="5" t="n">
        <v>316529520</v>
      </c>
      <c r="E9" s="5" t="n">
        <v>235934604</v>
      </c>
      <c r="F9" s="5" t="n">
        <v>238959820</v>
      </c>
      <c r="G9" s="5" t="n">
        <v>173525313</v>
      </c>
      <c r="H9" s="5" t="n">
        <v>222501827</v>
      </c>
      <c r="I9" s="5" t="n">
        <v>220126772</v>
      </c>
    </row>
    <row r="10">
      <c r="A10" s="4" t="inlineStr">
        <is>
          <t>存货</t>
        </is>
      </c>
      <c r="C10" s="5" t="n">
        <v>5970614068</v>
      </c>
      <c r="D10" s="5" t="n">
        <v>5143615319</v>
      </c>
      <c r="E10" s="5" t="n">
        <v>5403360356</v>
      </c>
      <c r="F10" s="5" t="n">
        <v>4327048485</v>
      </c>
      <c r="G10" s="5" t="n">
        <v>3280989599</v>
      </c>
      <c r="H10" s="5" t="n">
        <v>3280465303</v>
      </c>
      <c r="I10" s="5" t="n">
        <v>3241739977</v>
      </c>
    </row>
    <row r="11">
      <c r="A11" s="4" t="inlineStr">
        <is>
          <t>长期资产</t>
        </is>
      </c>
      <c r="C11" s="5" t="n">
        <v>25921750571</v>
      </c>
      <c r="D11" s="5" t="n">
        <v>22371514457</v>
      </c>
      <c r="E11" s="5" t="n">
        <v>20039597823</v>
      </c>
      <c r="F11" s="5" t="n">
        <v>18909202022</v>
      </c>
      <c r="G11" s="5" t="n">
        <v>19078628686</v>
      </c>
      <c r="H11" s="5" t="n">
        <v>20153605835</v>
      </c>
      <c r="I11" s="5" t="n">
        <v>18450256913</v>
      </c>
    </row>
    <row r="12">
      <c r="A12" s="4" t="inlineStr">
        <is>
          <t>负债</t>
        </is>
      </c>
      <c r="C12" s="5" t="n">
        <v>27568613358</v>
      </c>
      <c r="D12" s="5" t="n">
        <v>25219085168</v>
      </c>
      <c r="E12" s="5" t="n">
        <v>21779200663</v>
      </c>
      <c r="F12" s="5" t="n">
        <v>18490789663</v>
      </c>
      <c r="G12" s="5" t="n">
        <v>16832717886</v>
      </c>
      <c r="H12" s="5" t="n">
        <v>17457198085</v>
      </c>
      <c r="I12" s="5" t="n">
        <v>14300566064</v>
      </c>
    </row>
    <row r="13">
      <c r="A13" s="4" t="inlineStr">
        <is>
          <t>预收</t>
        </is>
      </c>
      <c r="C13" s="5" t="n">
        <v>807312590</v>
      </c>
      <c r="D13" s="5" t="n">
        <v>979067305</v>
      </c>
      <c r="E13" s="5" t="n">
        <v>931585408</v>
      </c>
      <c r="F13" s="5" t="n">
        <v>863737090</v>
      </c>
      <c r="G13" s="5" t="n">
        <v>756282114</v>
      </c>
      <c r="H13" s="5" t="n">
        <v>695400166</v>
      </c>
      <c r="I13" s="5" t="n">
        <v>594503112</v>
      </c>
    </row>
    <row r="14">
      <c r="A14" s="4" t="inlineStr">
        <is>
          <t>应付</t>
        </is>
      </c>
      <c r="C14" s="5" t="n">
        <v>5803094989</v>
      </c>
      <c r="D14" s="5" t="n">
        <v>5522986739</v>
      </c>
      <c r="E14" s="5" t="n">
        <v>4153709622</v>
      </c>
      <c r="F14" s="5" t="n">
        <v>3148222805</v>
      </c>
      <c r="G14" s="5" t="n">
        <v>2466005390</v>
      </c>
      <c r="H14" s="5" t="n">
        <v>2097319605</v>
      </c>
      <c r="I14" s="5" t="n">
        <v>2465349981</v>
      </c>
    </row>
    <row r="15">
      <c r="A15" s="4" t="inlineStr">
        <is>
          <t>有息负债</t>
        </is>
      </c>
      <c r="C15" s="5" t="n">
        <v>14995298574</v>
      </c>
      <c r="D15" s="5" t="n">
        <v>14535923962</v>
      </c>
      <c r="E15" s="5" t="n">
        <v>13012009563</v>
      </c>
      <c r="F15" s="5" t="n">
        <v>11205647043</v>
      </c>
      <c r="G15" s="5" t="n">
        <v>10434585123</v>
      </c>
      <c r="H15" s="5" t="n">
        <v>11383469538</v>
      </c>
      <c r="I15" s="5" t="n">
        <v>8403278932</v>
      </c>
    </row>
    <row r="16">
      <c r="A16" s="4" t="inlineStr">
        <is>
          <t>权益</t>
        </is>
      </c>
      <c r="C16" s="5" t="n">
        <v>35685569178</v>
      </c>
      <c r="D16" s="5" t="n">
        <v>31411322327</v>
      </c>
      <c r="E16" s="5" t="n">
        <v>28988298128</v>
      </c>
      <c r="F16" s="5" t="n">
        <v>26294104291</v>
      </c>
      <c r="G16" s="5" t="n">
        <v>21590907298</v>
      </c>
      <c r="H16" s="5" t="n">
        <v>21369081522</v>
      </c>
      <c r="I16" s="5" t="n">
        <v>20189872606</v>
      </c>
    </row>
    <row r="17">
      <c r="A17" s="4" t="inlineStr">
        <is>
          <t>资本投入</t>
        </is>
      </c>
      <c r="C17" s="5" t="n">
        <v>12310494456</v>
      </c>
      <c r="D17" s="5" t="n">
        <v>12310494456</v>
      </c>
      <c r="E17" s="5" t="n">
        <v>12310494456</v>
      </c>
      <c r="F17" s="5" t="n">
        <v>12310494456</v>
      </c>
      <c r="G17" s="5" t="n">
        <v>8731529967</v>
      </c>
      <c r="H17" s="5" t="n">
        <v>8731695689</v>
      </c>
      <c r="I17" s="5" t="n">
        <v>8731695689</v>
      </c>
    </row>
    <row r="18">
      <c r="A18" s="4" t="inlineStr">
        <is>
          <t>未分配利润</t>
        </is>
      </c>
      <c r="C18" s="5" t="n">
        <v>18625997091</v>
      </c>
      <c r="D18" s="5" t="n">
        <v>15007163446</v>
      </c>
      <c r="E18" s="5" t="n">
        <v>12989794025</v>
      </c>
      <c r="F18" s="5" t="n">
        <v>11245487054</v>
      </c>
      <c r="G18" s="5" t="n">
        <v>10305548562</v>
      </c>
      <c r="H18" s="5" t="n">
        <v>9828694828</v>
      </c>
      <c r="I18" s="5" t="n">
        <v>9150322858</v>
      </c>
    </row>
    <row r="19">
      <c r="A19" s="4" t="inlineStr">
        <is>
          <t>股息分红</t>
        </is>
      </c>
      <c r="C19" s="5" t="n">
        <v>4697538357.6</v>
      </c>
      <c r="D19" s="5" t="n">
        <v>3392666591.6</v>
      </c>
      <c r="E19" s="5" t="n">
        <v>3262179415</v>
      </c>
      <c r="F19" s="5" t="n">
        <v>2609743532</v>
      </c>
      <c r="G19" s="5" t="n">
        <v>1957307649</v>
      </c>
      <c r="H19" s="5" t="n">
        <v>1881463149</v>
      </c>
      <c r="I19" s="5" t="n">
        <v>2884910162</v>
      </c>
    </row>
    <row r="20">
      <c r="A20" s="4" t="inlineStr">
        <is>
          <t>股本</t>
        </is>
      </c>
      <c r="C20" s="5" t="n">
        <v>2609743532</v>
      </c>
      <c r="D20" s="5" t="n">
        <v>2609743532</v>
      </c>
      <c r="E20" s="5" t="n">
        <v>2609743532</v>
      </c>
      <c r="F20" s="5" t="n">
        <v>2609743532</v>
      </c>
      <c r="G20" s="5" t="n">
        <v>2508617532</v>
      </c>
      <c r="H20" s="5" t="n">
        <v>2508617532</v>
      </c>
      <c r="I20" s="5" t="n">
        <v>2508617532</v>
      </c>
    </row>
    <row r="22">
      <c r="A22" s="3">
        <f>=== 损益表数据 ====</f>
        <v/>
      </c>
    </row>
    <row r="23">
      <c r="A23" s="4" t="inlineStr">
        <is>
          <t>主营收入</t>
        </is>
      </c>
      <c r="C23" s="5" t="n">
        <v>38710428679</v>
      </c>
      <c r="D23" s="5" t="n">
        <v>32650176898</v>
      </c>
      <c r="E23" s="5" t="n">
        <v>27650978801</v>
      </c>
      <c r="F23" s="5" t="n">
        <v>23261134069</v>
      </c>
      <c r="G23" s="5" t="n">
        <v>19641289272</v>
      </c>
      <c r="H23" s="5" t="n">
        <v>20765088255</v>
      </c>
      <c r="I23" s="5" t="n">
        <v>19883838974</v>
      </c>
    </row>
    <row r="24">
      <c r="A24" s="4" t="inlineStr">
        <is>
          <t>主营成本</t>
        </is>
      </c>
      <c r="C24" s="5" t="n">
        <v>24922427939</v>
      </c>
      <c r="D24" s="5" t="n">
        <v>21310091980</v>
      </c>
      <c r="E24" s="5" t="n">
        <v>18410110199</v>
      </c>
      <c r="F24" s="5" t="n">
        <v>15039848812</v>
      </c>
      <c r="G24" s="5" t="n">
        <v>11944882127</v>
      </c>
      <c r="H24" s="5" t="n">
        <v>13060926884</v>
      </c>
      <c r="I24" s="5" t="n">
        <v>11488667084</v>
      </c>
    </row>
    <row r="25">
      <c r="A25" s="4" t="inlineStr">
        <is>
          <t>费用</t>
        </is>
      </c>
      <c r="C25" s="5" t="n">
        <v>5746301975</v>
      </c>
      <c r="D25" s="5" t="n">
        <v>5427862941</v>
      </c>
      <c r="E25" s="5" t="n">
        <v>4742246146</v>
      </c>
      <c r="F25" s="5" t="n">
        <v>4092374443</v>
      </c>
      <c r="G25" s="5" t="n">
        <v>4366570267</v>
      </c>
      <c r="H25" s="5" t="n">
        <v>4480060059</v>
      </c>
      <c r="I25" s="5" t="n">
        <v>4418465472</v>
      </c>
    </row>
    <row r="26">
      <c r="A26" s="4" t="inlineStr">
        <is>
          <t>研发费用</t>
        </is>
      </c>
      <c r="C26" s="5" t="n">
        <v>1677751298</v>
      </c>
      <c r="D26" s="5" t="n">
        <v>1403030121</v>
      </c>
      <c r="E26" s="5" t="n">
        <v>1248592812</v>
      </c>
      <c r="F26" s="5" t="n">
        <v>997203019</v>
      </c>
      <c r="G26" s="5" t="n">
        <v>815579258</v>
      </c>
      <c r="H26" s="5" t="n">
        <v>813129835</v>
      </c>
      <c r="I26" s="5" t="n">
        <v>887721987</v>
      </c>
    </row>
    <row r="27">
      <c r="A27" s="4" t="inlineStr">
        <is>
          <t>销售费用</t>
        </is>
      </c>
      <c r="C27" s="5" t="n">
        <v>1180260909</v>
      </c>
      <c r="D27" s="5" t="n">
        <v>1538783486</v>
      </c>
      <c r="E27" s="5" t="n">
        <v>1350721298</v>
      </c>
      <c r="F27" s="5" t="n">
        <v>1150992397</v>
      </c>
      <c r="G27" s="5" t="n">
        <v>1474366072</v>
      </c>
      <c r="H27" s="5" t="n">
        <v>1481567161</v>
      </c>
      <c r="I27" s="5" t="n">
        <v>1467671276</v>
      </c>
    </row>
    <row r="28">
      <c r="A28" s="4" t="inlineStr">
        <is>
          <t>管理费用</t>
        </is>
      </c>
      <c r="C28" s="5" t="n">
        <v>2888289768</v>
      </c>
      <c r="D28" s="5" t="n">
        <v>2486049334</v>
      </c>
      <c r="E28" s="5" t="n">
        <v>2142932036</v>
      </c>
      <c r="F28" s="5" t="n">
        <v>1944179027</v>
      </c>
      <c r="G28" s="5" t="n">
        <v>2076624937</v>
      </c>
      <c r="H28" s="5" t="n">
        <v>2185363063</v>
      </c>
      <c r="I28" s="5" t="n">
        <v>2063072209</v>
      </c>
    </row>
    <row r="29">
      <c r="A29" s="4" t="inlineStr">
        <is>
          <t>损耗</t>
        </is>
      </c>
      <c r="C29" s="5" t="n">
        <v>-98548679</v>
      </c>
      <c r="D29" s="5" t="n">
        <v>-220776671</v>
      </c>
      <c r="E29" s="5" t="n">
        <v>-150481522</v>
      </c>
      <c r="F29" s="5" t="n">
        <v>-23928049</v>
      </c>
      <c r="G29" s="5" t="n">
        <v>38157119</v>
      </c>
      <c r="H29" s="5" t="n">
        <v>-20103858</v>
      </c>
      <c r="I29" s="5" t="n">
        <v>-51746308</v>
      </c>
    </row>
    <row r="30">
      <c r="A30" s="4" t="inlineStr">
        <is>
          <t>其他收益</t>
        </is>
      </c>
      <c r="C30" s="5" t="n">
        <v>400415185</v>
      </c>
      <c r="D30" s="5" t="n">
        <v>262917177</v>
      </c>
      <c r="E30" s="5" t="n">
        <v>215071387</v>
      </c>
      <c r="F30" s="5" t="n">
        <v>242337506</v>
      </c>
      <c r="G30" s="5" t="n">
        <v>352820556</v>
      </c>
      <c r="H30" s="5" t="n">
        <v>181754102</v>
      </c>
      <c r="I30" s="5" t="n">
        <v>146750220</v>
      </c>
    </row>
    <row r="31">
      <c r="A31" s="4" t="inlineStr">
        <is>
          <t>现金收益</t>
        </is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</row>
    <row r="32">
      <c r="A32" s="4" t="inlineStr">
        <is>
          <t>利息支出</t>
        </is>
      </c>
      <c r="C32" s="5" t="n">
        <v>288507082</v>
      </c>
      <c r="D32" s="5" t="n">
        <v>288319603</v>
      </c>
      <c r="E32" s="5" t="n">
        <v>288122259</v>
      </c>
      <c r="F32" s="5" t="n">
        <v>318940791</v>
      </c>
      <c r="G32" s="5" t="n">
        <v>354752403</v>
      </c>
      <c r="H32" s="5" t="n">
        <v>432679520</v>
      </c>
      <c r="I32" s="5" t="n">
        <v>376230473</v>
      </c>
    </row>
    <row r="33">
      <c r="A33" s="4" t="inlineStr">
        <is>
          <t>财务费用</t>
        </is>
      </c>
      <c r="C33" s="5" t="n">
        <v>35964048</v>
      </c>
      <c r="D33" s="5" t="n">
        <v>-361719066</v>
      </c>
      <c r="E33" s="5" t="n">
        <v>-1036725297</v>
      </c>
      <c r="F33" s="5" t="n">
        <v>536834250</v>
      </c>
      <c r="G33" s="5" t="n">
        <v>429822814</v>
      </c>
      <c r="H33" s="5" t="n">
        <v>-127469129</v>
      </c>
      <c r="I33" s="5" t="n">
        <v>-250823052</v>
      </c>
    </row>
    <row r="34">
      <c r="A34" s="4" t="inlineStr">
        <is>
          <t>所得税</t>
        </is>
      </c>
      <c r="C34" s="5" t="n">
        <v>1486781220</v>
      </c>
      <c r="D34" s="5" t="n">
        <v>1086913641</v>
      </c>
      <c r="E34" s="5" t="n">
        <v>826310042</v>
      </c>
      <c r="F34" s="5" t="n">
        <v>675861301</v>
      </c>
      <c r="G34" s="5" t="n">
        <v>511144107</v>
      </c>
      <c r="H34" s="5" t="n">
        <v>332955880</v>
      </c>
      <c r="I34" s="5" t="n">
        <v>855187629</v>
      </c>
    </row>
    <row r="35">
      <c r="A35" s="4" t="inlineStr">
        <is>
          <t>股权收益</t>
        </is>
      </c>
      <c r="C35" s="5" t="n">
        <v>-15801862</v>
      </c>
      <c r="D35" s="5" t="n">
        <v>4290148</v>
      </c>
      <c r="E35" s="5" t="n">
        <v>20962737</v>
      </c>
      <c r="F35" s="5" t="n">
        <v>26975045</v>
      </c>
      <c r="G35" s="5" t="n">
        <v>11843754</v>
      </c>
      <c r="H35" s="5" t="n">
        <v>-5932899</v>
      </c>
      <c r="I35" s="5" t="n">
        <v>667776495</v>
      </c>
    </row>
    <row r="36">
      <c r="A36" s="4" t="inlineStr">
        <is>
          <t>其他业务收入</t>
        </is>
      </c>
      <c r="C36" s="5" t="n">
        <v>541228588</v>
      </c>
      <c r="D36" s="5" t="n">
        <v>510819743</v>
      </c>
      <c r="E36" s="5" t="n">
        <v>447775365</v>
      </c>
      <c r="F36" s="5" t="n">
        <v>341929292</v>
      </c>
      <c r="G36" s="5" t="n">
        <v>265304196</v>
      </c>
      <c r="H36" s="5" t="n">
        <v>338789268</v>
      </c>
      <c r="I36" s="5" t="n">
        <v>341146746</v>
      </c>
    </row>
    <row r="37">
      <c r="A37" s="4" t="inlineStr">
        <is>
          <t>其他业务成本</t>
        </is>
      </c>
      <c r="C37" s="5" t="n">
        <v>108449502</v>
      </c>
      <c r="D37" s="5" t="n">
        <v>114234160</v>
      </c>
      <c r="E37" s="5" t="n">
        <v>125334935</v>
      </c>
      <c r="F37" s="5" t="n">
        <v>89204424</v>
      </c>
      <c r="G37" s="5" t="n">
        <v>97335416</v>
      </c>
      <c r="H37" s="5" t="n">
        <v>136627509</v>
      </c>
      <c r="I37" s="5" t="n">
        <v>114387863</v>
      </c>
    </row>
    <row r="38">
      <c r="A38" s="4" t="inlineStr">
        <is>
          <t>营业外收入</t>
        </is>
      </c>
      <c r="C38" s="5" t="n">
        <v>35905331</v>
      </c>
      <c r="D38" s="5" t="n">
        <v>49843149</v>
      </c>
      <c r="E38" s="5" t="n">
        <v>80855034</v>
      </c>
      <c r="F38" s="5" t="n">
        <v>217974835</v>
      </c>
      <c r="G38" s="5" t="n">
        <v>57628048</v>
      </c>
      <c r="H38" s="5" t="n">
        <v>109494454</v>
      </c>
      <c r="I38" s="5" t="n">
        <v>60687441</v>
      </c>
    </row>
    <row r="39">
      <c r="A39" s="4" t="inlineStr">
        <is>
          <t>营业外成本</t>
        </is>
      </c>
      <c r="C39" s="5" t="n">
        <v>120136061</v>
      </c>
      <c r="D39" s="5" t="n">
        <v>125106357</v>
      </c>
      <c r="E39" s="5" t="n">
        <v>163122132</v>
      </c>
      <c r="F39" s="5" t="n">
        <v>161162665</v>
      </c>
      <c r="G39" s="5" t="n">
        <v>214664627</v>
      </c>
      <c r="H39" s="5" t="n">
        <v>294294341</v>
      </c>
      <c r="I39" s="5" t="n">
        <v>71545321</v>
      </c>
    </row>
    <row r="40">
      <c r="A40" s="4" t="inlineStr">
        <is>
          <t>折旧摊销</t>
        </is>
      </c>
      <c r="C40" s="5" t="n">
        <v>2727498647</v>
      </c>
      <c r="D40" s="5" t="n">
        <v>2522443359</v>
      </c>
      <c r="E40" s="5" t="n">
        <v>2345067457</v>
      </c>
      <c r="F40" s="5" t="n">
        <v>2251652666</v>
      </c>
      <c r="G40" s="5" t="n">
        <v>2242004968</v>
      </c>
      <c r="H40" s="5" t="n">
        <v>2130158309</v>
      </c>
      <c r="I40" s="5" t="n">
        <v>1687167602</v>
      </c>
    </row>
    <row r="41">
      <c r="A41" s="4" t="inlineStr">
        <is>
          <t>资本开支</t>
        </is>
      </c>
      <c r="C41" s="5" t="n">
        <v>5480872166</v>
      </c>
      <c r="D41" s="5" t="n">
        <v>4474711099</v>
      </c>
      <c r="E41" s="5" t="n">
        <v>3130253387</v>
      </c>
      <c r="F41" s="5" t="n">
        <v>2328511864</v>
      </c>
      <c r="G41" s="5" t="n">
        <v>1772542963</v>
      </c>
      <c r="H41" s="5" t="n">
        <v>2779502262</v>
      </c>
      <c r="I41" s="5" t="n">
        <v>3591741242</v>
      </c>
    </row>
    <row r="43">
      <c r="A43" s="3">
        <f>=== 盈利结构分析 ====</f>
        <v/>
      </c>
    </row>
    <row r="44">
      <c r="A44" s="4" t="inlineStr">
        <is>
          <t>业务利润</t>
        </is>
      </c>
      <c r="C44" s="6">
        <f>C23-C24-C25+C29+C30+C31-C32-C33-C34</f>
        <v/>
      </c>
      <c r="D44" s="6">
        <f>D23-D24-D25+D29+D30+D31-D32-D33-D34</f>
        <v/>
      </c>
      <c r="E44" s="6">
        <f>E23-E24-E25+E29+E30+E31-E32-E33-E34</f>
        <v/>
      </c>
      <c r="F44" s="6">
        <f>F23-F24-F25+F29+F30+F31-F32-F33-F34</f>
        <v/>
      </c>
      <c r="G44" s="6">
        <f>G23-G24-G25+G29+G30+G31-G32-G33-G34</f>
        <v/>
      </c>
      <c r="H44" s="6">
        <f>H23-H24-H25+H29+H30+H31-H32-H33-H34</f>
        <v/>
      </c>
      <c r="I44" s="6">
        <f>I23-I24-I25+I29+I30+I31-I32-I33-I34</f>
        <v/>
      </c>
    </row>
    <row r="45">
      <c r="A45" s="4" t="inlineStr">
        <is>
          <t>其他业务利润</t>
        </is>
      </c>
      <c r="C45" s="6">
        <f>C36-C37</f>
        <v/>
      </c>
      <c r="D45" s="6">
        <f>D36-D37</f>
        <v/>
      </c>
      <c r="E45" s="6">
        <f>E36-E37</f>
        <v/>
      </c>
      <c r="F45" s="6">
        <f>F36-F37</f>
        <v/>
      </c>
      <c r="G45" s="6">
        <f>G36-G37</f>
        <v/>
      </c>
      <c r="H45" s="6">
        <f>H36-H37</f>
        <v/>
      </c>
      <c r="I45" s="6">
        <f>I36-I37</f>
        <v/>
      </c>
    </row>
    <row r="46">
      <c r="A46" s="4" t="inlineStr">
        <is>
          <t>营业外利润</t>
        </is>
      </c>
      <c r="C46" s="6">
        <f>C38-C39</f>
        <v/>
      </c>
      <c r="D46" s="6">
        <f>D38-D39</f>
        <v/>
      </c>
      <c r="E46" s="6">
        <f>E38-E39</f>
        <v/>
      </c>
      <c r="F46" s="6">
        <f>F38-F39</f>
        <v/>
      </c>
      <c r="G46" s="6">
        <f>G38-G39</f>
        <v/>
      </c>
      <c r="H46" s="6">
        <f>H38-H39</f>
        <v/>
      </c>
      <c r="I46" s="6">
        <f>I38-I39</f>
        <v/>
      </c>
    </row>
    <row r="47">
      <c r="A47" s="4" t="inlineStr">
        <is>
          <t>净利润</t>
        </is>
      </c>
      <c r="C47" s="6">
        <f>C44+C35+C45+C46</f>
        <v/>
      </c>
      <c r="D47" s="6">
        <f>D44+D35+D45+D46</f>
        <v/>
      </c>
      <c r="E47" s="6">
        <f>E44+E35+E45+E46</f>
        <v/>
      </c>
      <c r="F47" s="6">
        <f>F44+F35+F45+F46</f>
        <v/>
      </c>
      <c r="G47" s="6">
        <f>G44+G35+G45+G46</f>
        <v/>
      </c>
      <c r="H47" s="6">
        <f>H44+H35+H45+H46</f>
        <v/>
      </c>
      <c r="I47" s="6">
        <f>I44+I35+I45+I46</f>
        <v/>
      </c>
    </row>
    <row r="48">
      <c r="A48" s="4" t="inlineStr">
        <is>
          <t>利润留存</t>
        </is>
      </c>
      <c r="C48" s="6">
        <f>C47-C19</f>
        <v/>
      </c>
      <c r="D48" s="6">
        <f>D47-D19</f>
        <v/>
      </c>
      <c r="E48" s="6">
        <f>E47-E19</f>
        <v/>
      </c>
      <c r="F48" s="6">
        <f>F47-F19</f>
        <v/>
      </c>
      <c r="G48" s="6">
        <f>G47-G19</f>
        <v/>
      </c>
      <c r="H48" s="6">
        <f>H47-H19</f>
        <v/>
      </c>
      <c r="I48" s="6">
        <f>I47-I19</f>
        <v/>
      </c>
    </row>
    <row r="49">
      <c r="A49" s="4" t="inlineStr">
        <is>
          <t>自由现金流</t>
        </is>
      </c>
      <c r="C49" s="6">
        <f>C48+C40-C41</f>
        <v/>
      </c>
      <c r="D49" s="6">
        <f>D48+D40-D41</f>
        <v/>
      </c>
      <c r="E49" s="6">
        <f>E48+E40-E41</f>
        <v/>
      </c>
      <c r="F49" s="6">
        <f>F48+F40-F41</f>
        <v/>
      </c>
      <c r="G49" s="6">
        <f>G48+G40-G41</f>
        <v/>
      </c>
      <c r="H49" s="6">
        <f>H48+H40-H41</f>
        <v/>
      </c>
      <c r="I49" s="6">
        <f>I48+I40-I41</f>
        <v/>
      </c>
    </row>
    <row r="51">
      <c r="A51" s="3">
        <f>=== 经营指标 ====</f>
        <v/>
      </c>
    </row>
    <row r="52">
      <c r="A52" s="4" t="inlineStr">
        <is>
          <t>毛利率</t>
        </is>
      </c>
      <c r="C52" s="6">
        <f>(C23-C24)/C23</f>
        <v/>
      </c>
      <c r="D52" s="6">
        <f>(D23-D24)/D23</f>
        <v/>
      </c>
      <c r="E52" s="6">
        <f>(E23-E24)/E23</f>
        <v/>
      </c>
      <c r="F52" s="6">
        <f>(F23-F24)/F23</f>
        <v/>
      </c>
      <c r="G52" s="6">
        <f>(G23-G24)/G23</f>
        <v/>
      </c>
      <c r="H52" s="6">
        <f>(H23-H24)/H23</f>
        <v/>
      </c>
      <c r="I52" s="6">
        <f>(I23-I24)/I23</f>
        <v/>
      </c>
    </row>
    <row r="53">
      <c r="A53" s="4" t="inlineStr">
        <is>
          <t>费率</t>
        </is>
      </c>
      <c r="C53" s="6">
        <f>C25/C23</f>
        <v/>
      </c>
      <c r="D53" s="6">
        <f>D25/D23</f>
        <v/>
      </c>
      <c r="E53" s="6">
        <f>E25/E23</f>
        <v/>
      </c>
      <c r="F53" s="6">
        <f>F25/F23</f>
        <v/>
      </c>
      <c r="G53" s="6">
        <f>G25/G23</f>
        <v/>
      </c>
      <c r="H53" s="6">
        <f>H25/H23</f>
        <v/>
      </c>
      <c r="I53" s="6">
        <f>I25/I23</f>
        <v/>
      </c>
    </row>
    <row r="54">
      <c r="A54" s="4" t="inlineStr">
        <is>
          <t>研发费率</t>
        </is>
      </c>
      <c r="C54" s="6">
        <f>C26/C23</f>
        <v/>
      </c>
      <c r="D54" s="6">
        <f>D26/D23</f>
        <v/>
      </c>
      <c r="E54" s="6">
        <f>E26/E23</f>
        <v/>
      </c>
      <c r="F54" s="6">
        <f>F26/F23</f>
        <v/>
      </c>
      <c r="G54" s="6">
        <f>G26/G23</f>
        <v/>
      </c>
      <c r="H54" s="6">
        <f>H26/H23</f>
        <v/>
      </c>
      <c r="I54" s="6">
        <f>I26/I23</f>
        <v/>
      </c>
    </row>
    <row r="55">
      <c r="A55" s="4" t="inlineStr">
        <is>
          <t>销售费率</t>
        </is>
      </c>
      <c r="C55" s="6">
        <f>C27/C23</f>
        <v/>
      </c>
      <c r="D55" s="6">
        <f>D27/D23</f>
        <v/>
      </c>
      <c r="E55" s="6">
        <f>E27/E23</f>
        <v/>
      </c>
      <c r="F55" s="6">
        <f>F27/F23</f>
        <v/>
      </c>
      <c r="G55" s="6">
        <f>G27/G23</f>
        <v/>
      </c>
      <c r="H55" s="6">
        <f>H27/H23</f>
        <v/>
      </c>
      <c r="I55" s="6">
        <f>I27/I23</f>
        <v/>
      </c>
    </row>
    <row r="56">
      <c r="A56" s="4" t="inlineStr">
        <is>
          <t>管理费率</t>
        </is>
      </c>
      <c r="C56" s="6">
        <f>C28/C23</f>
        <v/>
      </c>
      <c r="D56" s="6">
        <f>D28/D23</f>
        <v/>
      </c>
      <c r="E56" s="6">
        <f>E28/E23</f>
        <v/>
      </c>
      <c r="F56" s="6">
        <f>F28/F23</f>
        <v/>
      </c>
      <c r="G56" s="6">
        <f>G28/G23</f>
        <v/>
      </c>
      <c r="H56" s="6">
        <f>H28/H23</f>
        <v/>
      </c>
      <c r="I56" s="6">
        <f>I28/I23</f>
        <v/>
      </c>
    </row>
    <row r="57">
      <c r="A57" s="4" t="inlineStr">
        <is>
          <t>净利率</t>
        </is>
      </c>
      <c r="C57" s="6">
        <f>C44/C23</f>
        <v/>
      </c>
      <c r="D57" s="6">
        <f>D44/D23</f>
        <v/>
      </c>
      <c r="E57" s="6">
        <f>E44/E23</f>
        <v/>
      </c>
      <c r="F57" s="6">
        <f>F44/F23</f>
        <v/>
      </c>
      <c r="G57" s="6">
        <f>G44/G23</f>
        <v/>
      </c>
      <c r="H57" s="6">
        <f>H44/H23</f>
        <v/>
      </c>
      <c r="I57" s="6">
        <f>I44/I23</f>
        <v/>
      </c>
    </row>
    <row r="58">
      <c r="A58" s="4" t="inlineStr">
        <is>
          <t>应收占比</t>
        </is>
      </c>
      <c r="C58" s="6">
        <f>C8/C23</f>
        <v/>
      </c>
      <c r="D58" s="6">
        <f>D8/D23</f>
        <v/>
      </c>
      <c r="E58" s="6">
        <f>E8/E23</f>
        <v/>
      </c>
      <c r="F58" s="6">
        <f>F8/F23</f>
        <v/>
      </c>
      <c r="G58" s="6">
        <f>G8/G23</f>
        <v/>
      </c>
      <c r="H58" s="6">
        <f>H8/H23</f>
        <v/>
      </c>
      <c r="I58" s="6">
        <f>I8/I23</f>
        <v/>
      </c>
    </row>
    <row r="59">
      <c r="A59" s="4" t="inlineStr">
        <is>
          <t>应收周转</t>
        </is>
      </c>
      <c r="C59" s="6">
        <f>C23/C8</f>
        <v/>
      </c>
      <c r="D59" s="6">
        <f>D23/D8</f>
        <v/>
      </c>
      <c r="E59" s="6">
        <f>E23/E8</f>
        <v/>
      </c>
      <c r="F59" s="6">
        <f>F23/F8</f>
        <v/>
      </c>
      <c r="G59" s="6">
        <f>G23/G8</f>
        <v/>
      </c>
      <c r="H59" s="6">
        <f>H23/H8</f>
        <v/>
      </c>
      <c r="I59" s="6">
        <f>I23/I8</f>
        <v/>
      </c>
    </row>
    <row r="60">
      <c r="A60" s="4" t="inlineStr">
        <is>
          <t>存货周转</t>
        </is>
      </c>
      <c r="C60" s="6">
        <f>C24/C10</f>
        <v/>
      </c>
      <c r="D60" s="6">
        <f>D24/D10</f>
        <v/>
      </c>
      <c r="E60" s="6">
        <f>E24/E10</f>
        <v/>
      </c>
      <c r="F60" s="6">
        <f>F24/F10</f>
        <v/>
      </c>
      <c r="G60" s="6">
        <f>G24/G10</f>
        <v/>
      </c>
      <c r="H60" s="6">
        <f>H24/H10</f>
        <v/>
      </c>
      <c r="I60" s="6">
        <f>I24/I10</f>
        <v/>
      </c>
    </row>
    <row r="61">
      <c r="A61" s="4" t="inlineStr">
        <is>
          <t>预收占比</t>
        </is>
      </c>
      <c r="C61" s="6">
        <f>C13/C23</f>
        <v/>
      </c>
      <c r="D61" s="6">
        <f>D13/D23</f>
        <v/>
      </c>
      <c r="E61" s="6">
        <f>E13/E23</f>
        <v/>
      </c>
      <c r="F61" s="6">
        <f>F13/F23</f>
        <v/>
      </c>
      <c r="G61" s="6">
        <f>G13/G23</f>
        <v/>
      </c>
      <c r="H61" s="6">
        <f>H13/H23</f>
        <v/>
      </c>
      <c r="I61" s="6">
        <f>I13/I23</f>
        <v/>
      </c>
    </row>
    <row r="63">
      <c r="A63" s="3">
        <f>=== 资产负债结构 ====</f>
        <v/>
      </c>
    </row>
    <row r="64">
      <c r="A64" s="4" t="inlineStr">
        <is>
          <t>现金资产占比</t>
        </is>
      </c>
      <c r="C64" s="6">
        <f>C5/C4</f>
        <v/>
      </c>
      <c r="D64" s="6">
        <f>D5/D4</f>
        <v/>
      </c>
      <c r="E64" s="6">
        <f>E5/E4</f>
        <v/>
      </c>
      <c r="F64" s="6">
        <f>F5/F4</f>
        <v/>
      </c>
      <c r="G64" s="6">
        <f>G5/G4</f>
        <v/>
      </c>
      <c r="H64" s="6">
        <f>H5/H4</f>
        <v/>
      </c>
      <c r="I64" s="6">
        <f>I5/I4</f>
        <v/>
      </c>
    </row>
    <row r="65">
      <c r="A65" s="4" t="inlineStr">
        <is>
          <t>股权资产占比</t>
        </is>
      </c>
      <c r="C65" s="6">
        <f>C6/C4</f>
        <v/>
      </c>
      <c r="D65" s="6">
        <f>D6/D4</f>
        <v/>
      </c>
      <c r="E65" s="6">
        <f>E6/E4</f>
        <v/>
      </c>
      <c r="F65" s="6">
        <f>F6/F4</f>
        <v/>
      </c>
      <c r="G65" s="6">
        <f>G6/G4</f>
        <v/>
      </c>
      <c r="H65" s="6">
        <f>H6/H4</f>
        <v/>
      </c>
      <c r="I65" s="6">
        <f>I6/I4</f>
        <v/>
      </c>
    </row>
    <row r="66">
      <c r="A66" s="4" t="inlineStr">
        <is>
          <t>经营资产占比</t>
        </is>
      </c>
      <c r="C66" s="6">
        <f>C7/C4</f>
        <v/>
      </c>
      <c r="D66" s="6">
        <f>D7/D4</f>
        <v/>
      </c>
      <c r="E66" s="6">
        <f>E7/E4</f>
        <v/>
      </c>
      <c r="F66" s="6">
        <f>F7/F4</f>
        <v/>
      </c>
      <c r="G66" s="6">
        <f>G7/G4</f>
        <v/>
      </c>
      <c r="H66" s="6">
        <f>H7/H4</f>
        <v/>
      </c>
      <c r="I66" s="6">
        <f>I7/I4</f>
        <v/>
      </c>
    </row>
    <row r="67">
      <c r="A67" s="4" t="inlineStr">
        <is>
          <t>长期资产占比</t>
        </is>
      </c>
      <c r="C67" s="6">
        <f>C11/C4</f>
        <v/>
      </c>
      <c r="D67" s="6">
        <f>D11/D4</f>
        <v/>
      </c>
      <c r="E67" s="6">
        <f>E11/E4</f>
        <v/>
      </c>
      <c r="F67" s="6">
        <f>F11/F4</f>
        <v/>
      </c>
      <c r="G67" s="6">
        <f>G11/G4</f>
        <v/>
      </c>
      <c r="H67" s="6">
        <f>H11/H4</f>
        <v/>
      </c>
      <c r="I67" s="6">
        <f>I11/I4</f>
        <v/>
      </c>
    </row>
    <row r="68">
      <c r="A68" s="4" t="inlineStr">
        <is>
          <t>经营负债占比</t>
        </is>
      </c>
      <c r="C68" s="6">
        <f>(C13+C14)/C12</f>
        <v/>
      </c>
      <c r="D68" s="6">
        <f>(D13+D14)/D12</f>
        <v/>
      </c>
      <c r="E68" s="6">
        <f>(E13+E14)/E12</f>
        <v/>
      </c>
      <c r="F68" s="6">
        <f>(F13+F14)/F12</f>
        <v/>
      </c>
      <c r="G68" s="6">
        <f>(G13+G14)/G12</f>
        <v/>
      </c>
      <c r="H68" s="6">
        <f>(H13+H14)/H12</f>
        <v/>
      </c>
      <c r="I68" s="6">
        <f>(I13+I14)/I12</f>
        <v/>
      </c>
    </row>
    <row r="69">
      <c r="A69" s="4" t="inlineStr">
        <is>
          <t>有息负债占比</t>
        </is>
      </c>
      <c r="C69" s="6">
        <f>C15/C12</f>
        <v/>
      </c>
      <c r="D69" s="6">
        <f>D15/D12</f>
        <v/>
      </c>
      <c r="E69" s="6">
        <f>E15/E12</f>
        <v/>
      </c>
      <c r="F69" s="6">
        <f>F15/F12</f>
        <v/>
      </c>
      <c r="G69" s="6">
        <f>G15/G12</f>
        <v/>
      </c>
      <c r="H69" s="6">
        <f>H15/H12</f>
        <v/>
      </c>
      <c r="I69" s="6">
        <f>I15/I12</f>
        <v/>
      </c>
    </row>
    <row r="70">
      <c r="A70" s="4" t="inlineStr">
        <is>
          <t>资本投入占比</t>
        </is>
      </c>
      <c r="C70" s="6">
        <f>C17/C16</f>
        <v/>
      </c>
      <c r="D70" s="6">
        <f>D17/D16</f>
        <v/>
      </c>
      <c r="E70" s="6">
        <f>E17/E16</f>
        <v/>
      </c>
      <c r="F70" s="6">
        <f>F17/F16</f>
        <v/>
      </c>
      <c r="G70" s="6">
        <f>G17/G16</f>
        <v/>
      </c>
      <c r="H70" s="6">
        <f>H17/H16</f>
        <v/>
      </c>
      <c r="I70" s="6">
        <f>I17/I16</f>
        <v/>
      </c>
    </row>
    <row r="71">
      <c r="A71" s="4" t="inlineStr">
        <is>
          <t>利润留存占比</t>
        </is>
      </c>
      <c r="C71" s="6">
        <f>C18/C16</f>
        <v/>
      </c>
      <c r="D71" s="6">
        <f>D18/D16</f>
        <v/>
      </c>
      <c r="E71" s="6">
        <f>E18/E16</f>
        <v/>
      </c>
      <c r="F71" s="6">
        <f>F18/F16</f>
        <v/>
      </c>
      <c r="G71" s="6">
        <f>G18/G16</f>
        <v/>
      </c>
      <c r="H71" s="6">
        <f>H18/H16</f>
        <v/>
      </c>
      <c r="I71" s="6">
        <f>I18/I16</f>
        <v/>
      </c>
    </row>
    <row r="73">
      <c r="A73" s="3">
        <f>=== 同比增长分析 (YoY) ====</f>
        <v/>
      </c>
    </row>
    <row r="74">
      <c r="A74" s="4" t="inlineStr">
        <is>
          <t>营收 YoY</t>
        </is>
      </c>
      <c r="C74" s="6">
        <f>(C23-D23)/D23</f>
        <v/>
      </c>
      <c r="D74" s="6">
        <f>(D23-E23)/E23</f>
        <v/>
      </c>
      <c r="E74" s="6">
        <f>(E23-F23)/F23</f>
        <v/>
      </c>
      <c r="F74" s="6">
        <f>(F23-G23)/G23</f>
        <v/>
      </c>
      <c r="G74" s="6">
        <f>(G23-H23)/H23</f>
        <v/>
      </c>
      <c r="H74" s="6">
        <f>(H23-I23)/I23</f>
        <v/>
      </c>
      <c r="I74" s="7" t="n"/>
    </row>
    <row r="75">
      <c r="A75" s="4" t="inlineStr">
        <is>
          <t>业务净利润 YoY</t>
        </is>
      </c>
      <c r="C75" s="6">
        <f>(C44-D44)/D44</f>
        <v/>
      </c>
      <c r="D75" s="6">
        <f>(D44-E44)/E44</f>
        <v/>
      </c>
      <c r="E75" s="6">
        <f>(E44-F44)/F44</f>
        <v/>
      </c>
      <c r="F75" s="6">
        <f>(F44-G44)/G44</f>
        <v/>
      </c>
      <c r="G75" s="6">
        <f>(G44-H44)/H44</f>
        <v/>
      </c>
      <c r="H75" s="6">
        <f>(H44-I44)/I44</f>
        <v/>
      </c>
      <c r="I75" s="7" t="n"/>
    </row>
    <row r="76">
      <c r="A76" s="4" t="inlineStr">
        <is>
          <t>资产 YoY</t>
        </is>
      </c>
      <c r="C76" s="6">
        <f>(C4-D4)/D4</f>
        <v/>
      </c>
      <c r="D76" s="6">
        <f>(D4-E4)/E4</f>
        <v/>
      </c>
      <c r="E76" s="6">
        <f>(E4-F4)/F4</f>
        <v/>
      </c>
      <c r="F76" s="6">
        <f>(F4-G4)/G4</f>
        <v/>
      </c>
      <c r="G76" s="6">
        <f>(G4-H4)/H4</f>
        <v/>
      </c>
      <c r="H76" s="6">
        <f>(H4-I4)/I4</f>
        <v/>
      </c>
      <c r="I76" s="7" t="n"/>
    </row>
    <row r="77">
      <c r="A77" s="4" t="inlineStr">
        <is>
          <t>权益 YoY</t>
        </is>
      </c>
      <c r="C77" s="6">
        <f>(C16-D16)/D16</f>
        <v/>
      </c>
      <c r="D77" s="6">
        <f>(D16-E16)/E16</f>
        <v/>
      </c>
      <c r="E77" s="6">
        <f>(E16-F16)/F16</f>
        <v/>
      </c>
      <c r="F77" s="6">
        <f>(F16-G16)/G16</f>
        <v/>
      </c>
      <c r="G77" s="6">
        <f>(G16-H16)/H16</f>
        <v/>
      </c>
      <c r="H77" s="6">
        <f>(H16-I16)/I16</f>
        <v/>
      </c>
      <c r="I77" s="7" t="n"/>
    </row>
    <row r="79">
      <c r="A79" s="3">
        <f>=== ROE 分解（杜邦分析） ====</f>
        <v/>
      </c>
    </row>
    <row r="80">
      <c r="A80" s="4" t="inlineStr">
        <is>
          <t>ROE</t>
        </is>
      </c>
      <c r="C80" s="6">
        <f>C44/C16</f>
        <v/>
      </c>
      <c r="D80" s="6">
        <f>D44/D16</f>
        <v/>
      </c>
      <c r="E80" s="6">
        <f>E44/E16</f>
        <v/>
      </c>
      <c r="F80" s="6">
        <f>F44/F16</f>
        <v/>
      </c>
      <c r="G80" s="6">
        <f>G44/G16</f>
        <v/>
      </c>
      <c r="H80" s="6">
        <f>H44/H16</f>
        <v/>
      </c>
      <c r="I80" s="6">
        <f>I44/I16</f>
        <v/>
      </c>
    </row>
    <row r="81">
      <c r="A81" s="4" t="inlineStr">
        <is>
          <t>净利率</t>
        </is>
      </c>
      <c r="C81" s="6">
        <f>C44/C23</f>
        <v/>
      </c>
      <c r="D81" s="6">
        <f>D44/D23</f>
        <v/>
      </c>
      <c r="E81" s="6">
        <f>E44/E23</f>
        <v/>
      </c>
      <c r="F81" s="6">
        <f>F44/F23</f>
        <v/>
      </c>
      <c r="G81" s="6">
        <f>G44/G23</f>
        <v/>
      </c>
      <c r="H81" s="6">
        <f>H44/H23</f>
        <v/>
      </c>
      <c r="I81" s="6">
        <f>I44/I23</f>
        <v/>
      </c>
    </row>
    <row r="82">
      <c r="A82" s="4" t="inlineStr">
        <is>
          <t>资产周转率</t>
        </is>
      </c>
      <c r="C82" s="6">
        <f>C23/C4</f>
        <v/>
      </c>
      <c r="D82" s="6">
        <f>D23/D4</f>
        <v/>
      </c>
      <c r="E82" s="6">
        <f>E23/E4</f>
        <v/>
      </c>
      <c r="F82" s="6">
        <f>F23/F4</f>
        <v/>
      </c>
      <c r="G82" s="6">
        <f>G23/G4</f>
        <v/>
      </c>
      <c r="H82" s="6">
        <f>H23/H4</f>
        <v/>
      </c>
      <c r="I82" s="6">
        <f>I23/I4</f>
        <v/>
      </c>
    </row>
    <row r="83">
      <c r="A83" s="4" t="inlineStr">
        <is>
          <t>权益乘数</t>
        </is>
      </c>
      <c r="C83" s="6">
        <f>C4/C16</f>
        <v/>
      </c>
      <c r="D83" s="6">
        <f>D4/D16</f>
        <v/>
      </c>
      <c r="E83" s="6">
        <f>E4/E16</f>
        <v/>
      </c>
      <c r="F83" s="6">
        <f>F4/F16</f>
        <v/>
      </c>
      <c r="G83" s="6">
        <f>G4/G16</f>
        <v/>
      </c>
      <c r="H83" s="6">
        <f>H4/H16</f>
        <v/>
      </c>
      <c r="I83" s="6">
        <f>I4/I16</f>
        <v/>
      </c>
    </row>
    <row r="85">
      <c r="A85" s="3">
        <f>=== 估值指标 ====</f>
        <v/>
      </c>
    </row>
    <row r="86">
      <c r="A86" s="4" t="inlineStr">
        <is>
          <t>DPS（每股股息）</t>
        </is>
      </c>
      <c r="C86" s="6">
        <f>C19/C20</f>
        <v/>
      </c>
      <c r="D86" s="6">
        <f>D19/D20</f>
        <v/>
      </c>
      <c r="E86" s="6">
        <f>E19/E20</f>
        <v/>
      </c>
      <c r="F86" s="6">
        <f>F19/F20</f>
        <v/>
      </c>
      <c r="G86" s="6">
        <f>G19/G20</f>
        <v/>
      </c>
      <c r="H86" s="6">
        <f>H19/H20</f>
        <v/>
      </c>
      <c r="I86" s="6">
        <f>I19/I20</f>
        <v/>
      </c>
    </row>
    <row r="87">
      <c r="A87" s="4" t="inlineStr">
        <is>
          <t>EPS（每股收益）</t>
        </is>
      </c>
      <c r="C87" s="6">
        <f>C44/C20</f>
        <v/>
      </c>
      <c r="D87" s="6">
        <f>D44/D20</f>
        <v/>
      </c>
      <c r="E87" s="6">
        <f>E44/E20</f>
        <v/>
      </c>
      <c r="F87" s="6">
        <f>F44/F20</f>
        <v/>
      </c>
      <c r="G87" s="6">
        <f>G44/G20</f>
        <v/>
      </c>
      <c r="H87" s="6">
        <f>H44/H20</f>
        <v/>
      </c>
      <c r="I87" s="6">
        <f>I44/I20</f>
        <v/>
      </c>
    </row>
    <row r="88">
      <c r="A88" s="4" t="inlineStr">
        <is>
          <t>FPS（每股自由现金流）</t>
        </is>
      </c>
      <c r="C88" s="6">
        <f>C49/C20</f>
        <v/>
      </c>
      <c r="D88" s="6">
        <f>D49/D20</f>
        <v/>
      </c>
      <c r="E88" s="6">
        <f>E49/E20</f>
        <v/>
      </c>
      <c r="F88" s="6">
        <f>F49/F20</f>
        <v/>
      </c>
      <c r="G88" s="6">
        <f>G49/G20</f>
        <v/>
      </c>
      <c r="H88" s="6">
        <f>H49/H20</f>
        <v/>
      </c>
      <c r="I88" s="6">
        <f>I49/I20</f>
        <v/>
      </c>
    </row>
    <row r="89">
      <c r="A89" s="4" t="inlineStr">
        <is>
          <t>年度最高价</t>
        </is>
      </c>
      <c r="C89" s="8" t="n"/>
      <c r="D89" s="8" t="n"/>
      <c r="E89" s="8" t="n"/>
      <c r="F89" s="8" t="n"/>
      <c r="G89" s="8" t="n"/>
      <c r="H89" s="8" t="n"/>
      <c r="I89" s="8" t="n"/>
    </row>
    <row r="90">
      <c r="A90" s="4" t="inlineStr">
        <is>
          <t>年度最低价</t>
        </is>
      </c>
      <c r="C90" s="8" t="n"/>
      <c r="D90" s="8" t="n"/>
      <c r="E90" s="8" t="n"/>
      <c r="F90" s="8" t="n"/>
      <c r="G90" s="8" t="n"/>
      <c r="H90" s="8" t="n"/>
      <c r="I90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2026-02-04T04:23:33Z</dcterms:created>
  <dcterms:modified xsi:type="dcterms:W3CDTF">2026-02-04T04:23:33Z</dcterms:modified>
</cp:coreProperties>
</file>